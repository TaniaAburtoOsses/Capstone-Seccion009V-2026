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9569a\Desktop\capstone\docs\fase-1\"/>
    </mc:Choice>
  </mc:AlternateContent>
  <xr:revisionPtr revIDLastSave="0" documentId="13_ncr:1_{7A17A263-CD0E-4807-9574-0AC16C45C3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rtada" sheetId="1" r:id="rId1"/>
    <sheet name="Resumen" sheetId="2" r:id="rId2"/>
    <sheet name="Requerimientos" sheetId="3" r:id="rId3"/>
    <sheet name="Trazabilidad" sheetId="4" r:id="rId4"/>
    <sheet name="Pruebas por requerimiento" sheetId="5" r:id="rId5"/>
  </sheets>
  <definedNames>
    <definedName name="_xlnm._FilterDatabase" localSheetId="4" hidden="1">'Pruebas por requerimiento'!$A$5:$Q$59</definedName>
    <definedName name="_xlnm._FilterDatabase" localSheetId="2" hidden="1">Requerimientos!$A$5:$Q$43</definedName>
    <definedName name="_xlnm.Print_Titles" localSheetId="4">'Pruebas por requerimiento'!$5:$5</definedName>
    <definedName name="_xlnm.Print_Titles" localSheetId="2">Requerimientos!$5:$5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45" i="4" l="1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F43" i="4"/>
  <c r="BE43" i="4"/>
  <c r="BG43" i="4" s="1"/>
  <c r="BG42" i="4"/>
  <c r="BF42" i="4"/>
  <c r="BE42" i="4"/>
  <c r="BF41" i="4"/>
  <c r="BE41" i="4"/>
  <c r="BG41" i="4" s="1"/>
  <c r="BF40" i="4"/>
  <c r="BE40" i="4"/>
  <c r="BG40" i="4" s="1"/>
  <c r="BF39" i="4"/>
  <c r="BE39" i="4"/>
  <c r="BG39" i="4" s="1"/>
  <c r="BF38" i="4"/>
  <c r="BE38" i="4"/>
  <c r="BG38" i="4" s="1"/>
  <c r="BF37" i="4"/>
  <c r="BE37" i="4"/>
  <c r="BG37" i="4" s="1"/>
  <c r="BF36" i="4"/>
  <c r="BE36" i="4"/>
  <c r="BG36" i="4" s="1"/>
  <c r="BF35" i="4"/>
  <c r="BE35" i="4"/>
  <c r="BG35" i="4" s="1"/>
  <c r="BF34" i="4"/>
  <c r="BE34" i="4"/>
  <c r="BG34" i="4" s="1"/>
  <c r="BF33" i="4"/>
  <c r="BE33" i="4"/>
  <c r="BG33" i="4" s="1"/>
  <c r="BF32" i="4"/>
  <c r="BE32" i="4"/>
  <c r="BG32" i="4" s="1"/>
  <c r="BF31" i="4"/>
  <c r="BE31" i="4"/>
  <c r="BG31" i="4" s="1"/>
  <c r="BF30" i="4"/>
  <c r="BE30" i="4"/>
  <c r="BG30" i="4" s="1"/>
  <c r="BG29" i="4"/>
  <c r="BF29" i="4"/>
  <c r="BE29" i="4"/>
  <c r="BF28" i="4"/>
  <c r="BE28" i="4"/>
  <c r="BG28" i="4" s="1"/>
  <c r="BF27" i="4"/>
  <c r="BE27" i="4"/>
  <c r="BG27" i="4" s="1"/>
  <c r="BF26" i="4"/>
  <c r="BE26" i="4"/>
  <c r="BG26" i="4" s="1"/>
  <c r="BF25" i="4"/>
  <c r="BE25" i="4"/>
  <c r="BG25" i="4" s="1"/>
  <c r="BF24" i="4"/>
  <c r="BE24" i="4"/>
  <c r="BG24" i="4" s="1"/>
  <c r="BF23" i="4"/>
  <c r="BE23" i="4"/>
  <c r="BG23" i="4" s="1"/>
  <c r="BF22" i="4"/>
  <c r="BE22" i="4"/>
  <c r="BG22" i="4" s="1"/>
  <c r="BF21" i="4"/>
  <c r="BE21" i="4"/>
  <c r="BG21" i="4" s="1"/>
  <c r="BF20" i="4"/>
  <c r="BE20" i="4"/>
  <c r="BG20" i="4" s="1"/>
  <c r="BF19" i="4"/>
  <c r="BE19" i="4"/>
  <c r="BG19" i="4" s="1"/>
  <c r="BF18" i="4"/>
  <c r="BE18" i="4"/>
  <c r="BG18" i="4" s="1"/>
  <c r="BF17" i="4"/>
  <c r="BE17" i="4"/>
  <c r="BG17" i="4" s="1"/>
  <c r="BF16" i="4"/>
  <c r="BE16" i="4"/>
  <c r="BG16" i="4" s="1"/>
  <c r="BF15" i="4"/>
  <c r="BE15" i="4"/>
  <c r="BG15" i="4" s="1"/>
  <c r="BF14" i="4"/>
  <c r="BE14" i="4"/>
  <c r="BG14" i="4" s="1"/>
  <c r="BF13" i="4"/>
  <c r="BE13" i="4"/>
  <c r="BG13" i="4" s="1"/>
  <c r="BF12" i="4"/>
  <c r="BE12" i="4"/>
  <c r="BG12" i="4" s="1"/>
  <c r="BF11" i="4"/>
  <c r="BE11" i="4"/>
  <c r="BG11" i="4" s="1"/>
  <c r="BG10" i="4"/>
  <c r="BF10" i="4"/>
  <c r="BE10" i="4"/>
  <c r="BF9" i="4"/>
  <c r="BE9" i="4"/>
  <c r="BG9" i="4" s="1"/>
  <c r="BF8" i="4"/>
  <c r="BE8" i="4"/>
  <c r="BG8" i="4" s="1"/>
  <c r="BF7" i="4"/>
  <c r="BE7" i="4"/>
  <c r="BG7" i="4" s="1"/>
  <c r="BF6" i="4"/>
  <c r="BE6" i="4"/>
  <c r="BG6" i="4" s="1"/>
  <c r="F34" i="2"/>
  <c r="F33" i="2"/>
  <c r="F28" i="2"/>
  <c r="E28" i="2"/>
  <c r="D28" i="2"/>
  <c r="C28" i="2"/>
  <c r="F27" i="2"/>
  <c r="E27" i="2"/>
  <c r="D27" i="2"/>
  <c r="C27" i="2"/>
  <c r="F26" i="2"/>
  <c r="E26" i="2"/>
  <c r="D26" i="2"/>
  <c r="C26" i="2"/>
  <c r="G21" i="2"/>
  <c r="F21" i="2"/>
  <c r="E21" i="2"/>
  <c r="D21" i="2"/>
  <c r="C21" i="2"/>
  <c r="H21" i="2" s="1"/>
  <c r="G20" i="2"/>
  <c r="F20" i="2"/>
  <c r="E20" i="2"/>
  <c r="D20" i="2"/>
  <c r="C20" i="2"/>
  <c r="G19" i="2"/>
  <c r="F19" i="2"/>
  <c r="E19" i="2"/>
  <c r="D19" i="2"/>
  <c r="C19" i="2"/>
  <c r="H19" i="2" s="1"/>
  <c r="G18" i="2"/>
  <c r="F18" i="2"/>
  <c r="E18" i="2"/>
  <c r="D18" i="2"/>
  <c r="C18" i="2"/>
  <c r="G17" i="2"/>
  <c r="F17" i="2"/>
  <c r="E17" i="2"/>
  <c r="D17" i="2"/>
  <c r="C17" i="2"/>
  <c r="G16" i="2"/>
  <c r="F16" i="2"/>
  <c r="E16" i="2"/>
  <c r="D16" i="2"/>
  <c r="C16" i="2"/>
  <c r="G15" i="2"/>
  <c r="F15" i="2"/>
  <c r="E15" i="2"/>
  <c r="D15" i="2"/>
  <c r="C15" i="2"/>
  <c r="H15" i="2" s="1"/>
  <c r="G14" i="2"/>
  <c r="F14" i="2"/>
  <c r="E14" i="2"/>
  <c r="D14" i="2"/>
  <c r="C14" i="2"/>
  <c r="H14" i="2" s="1"/>
  <c r="G13" i="2"/>
  <c r="F13" i="2"/>
  <c r="E13" i="2"/>
  <c r="D13" i="2"/>
  <c r="C13" i="2"/>
  <c r="H13" i="2" s="1"/>
  <c r="G12" i="2"/>
  <c r="F12" i="2"/>
  <c r="E12" i="2"/>
  <c r="D12" i="2"/>
  <c r="C12" i="2"/>
  <c r="H12" i="2" s="1"/>
  <c r="G11" i="2"/>
  <c r="F11" i="2"/>
  <c r="E11" i="2"/>
  <c r="D11" i="2"/>
  <c r="C11" i="2"/>
  <c r="H11" i="2" s="1"/>
  <c r="G10" i="2"/>
  <c r="G22" i="2" s="1"/>
  <c r="F10" i="2"/>
  <c r="E10" i="2"/>
  <c r="D10" i="2"/>
  <c r="C10" i="2"/>
  <c r="K5" i="2"/>
  <c r="I5" i="2"/>
  <c r="G5" i="2"/>
  <c r="E5" i="2"/>
  <c r="C5" i="2"/>
  <c r="A5" i="2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H16" i="2" l="1"/>
  <c r="F22" i="2"/>
  <c r="H18" i="2"/>
  <c r="D22" i="2"/>
  <c r="E22" i="2"/>
  <c r="H20" i="2"/>
  <c r="H17" i="2"/>
  <c r="F31" i="2"/>
  <c r="F32" i="2"/>
  <c r="C22" i="2"/>
  <c r="H22" i="2" s="1"/>
  <c r="H10" i="2"/>
</calcChain>
</file>

<file path=xl/sharedStrings.xml><?xml version="1.0" encoding="utf-8"?>
<sst xmlns="http://schemas.openxmlformats.org/spreadsheetml/2006/main" count="1859" uniqueCount="738">
  <si>
    <t>Toma de Requerimientos</t>
  </si>
  <si>
    <t>Sistema de proyección de demanda de repuestos · Inchcape Chile</t>
  </si>
  <si>
    <t>Proyecto</t>
  </si>
  <si>
    <t>Proyección de demanda de repuestos para elevar el fill rate de Chile</t>
  </si>
  <si>
    <t>Cliente</t>
  </si>
  <si>
    <t>Inchcape Chile · Gerencia de Postventa</t>
  </si>
  <si>
    <t>Asignatura</t>
  </si>
  <si>
    <t>PTY4614 Capstone · Ingeniería en Informática · Duoc UC</t>
  </si>
  <si>
    <t>Metodología</t>
  </si>
  <si>
    <t>Tradicional (cascada) · ciclo de vida del modelo con CRISP-DM</t>
  </si>
  <si>
    <t>Equipo</t>
  </si>
  <si>
    <t>Angelo Henríquez · Tania Aburto · Jorge Cavieres</t>
  </si>
  <si>
    <t>Documento base</t>
  </si>
  <si>
    <t>Plan de pruebas de certificación, versión 21-09 (51 casos)</t>
  </si>
  <si>
    <t>Versión</t>
  </si>
  <si>
    <t>1.0 · 27 de septiembre de 2026</t>
  </si>
  <si>
    <t>Objetivo del negocio</t>
  </si>
  <si>
    <t>Elevar el fill rate de repuestos de 88% a 90% a diciembre de 2026, mejorando la proyección de demanda que alimenta el plan de compra. Hoy 225.264 SKU tienen forecast activo y solo 6.280 (2,8%) se ajustan manualmente: el resto depende de un forecast con un error cercano al 50%.</t>
  </si>
  <si>
    <t>Cómo se lee este documento</t>
  </si>
  <si>
    <t>Como proyecto en cascada, los requerimientos preceden al diseño, a la construcción y a las pruebas. Se presentan en el orden del proceso: cada etapa consume lo que produce la anterior, y la columna «Depende de» lo explicita. Cada requerimiento indica qué casos del plan de pruebas lo verifican, y la hoja Trazabilidad muestra la relación completa en ambos sentidos.</t>
  </si>
  <si>
    <t>Secuencia del proceso</t>
  </si>
  <si>
    <t>Etapa</t>
  </si>
  <si>
    <t>Requerimientos</t>
  </si>
  <si>
    <t>Casos de prueba</t>
  </si>
  <si>
    <t>Depende de la etapa</t>
  </si>
  <si>
    <t>1 · Ingesta y calidad de datos</t>
  </si>
  <si>
    <t>—</t>
  </si>
  <si>
    <t>2 · Preparación de datos</t>
  </si>
  <si>
    <t>1</t>
  </si>
  <si>
    <t>3 · Indicador de nivel de servicio</t>
  </si>
  <si>
    <t>2</t>
  </si>
  <si>
    <t>4 · Modelado y validación</t>
  </si>
  <si>
    <t>5 · Gobierno del modelo</t>
  </si>
  <si>
    <t>4</t>
  </si>
  <si>
    <t>6 · Proyección de demanda</t>
  </si>
  <si>
    <t>5</t>
  </si>
  <si>
    <t>7 · Simulación de cobertura</t>
  </si>
  <si>
    <t>6</t>
  </si>
  <si>
    <t>8 · Plan de compra</t>
  </si>
  <si>
    <t>7</t>
  </si>
  <si>
    <t>9 · Monitoreo del modelo</t>
  </si>
  <si>
    <t>5 y 6</t>
  </si>
  <si>
    <t>10 · Operación del ciclo mensual</t>
  </si>
  <si>
    <t>1 a 9</t>
  </si>
  <si>
    <t>11 · Seguridad y acceso</t>
  </si>
  <si>
    <t>12 · Transversal · no funcionales</t>
  </si>
  <si>
    <t>Transversal</t>
  </si>
  <si>
    <t>Interesados</t>
  </si>
  <si>
    <t>Interesado</t>
  </si>
  <si>
    <t>Rol en el proyecto</t>
  </si>
  <si>
    <t>Interés en el sistema</t>
  </si>
  <si>
    <t>Gerencia de Postventa</t>
  </si>
  <si>
    <t>Cliente que financia la herramienta</t>
  </si>
  <si>
    <t>Responde por la meta de fill rate de 90% a diciembre de 2026 y aprueba el alcance.</t>
  </si>
  <si>
    <t>Jefatura de Repuestos</t>
  </si>
  <si>
    <t>Usuario de negocio · aprobador</t>
  </si>
  <si>
    <t>Decide el plan de compra y valida los criterios de aceptación del modelo.</t>
  </si>
  <si>
    <t>Planificador de demanda</t>
  </si>
  <si>
    <t>Usuario principal</t>
  </si>
  <si>
    <t>Opera el ciclo mensual en la aplicación: carga, proyección, simulación y plan.</t>
  </si>
  <si>
    <t>Comprador</t>
  </si>
  <si>
    <t>Usuario</t>
  </si>
  <si>
    <t>Emite el pedido en SAP a partir del plan de compra descargado.</t>
  </si>
  <si>
    <t>TI Inchcape</t>
  </si>
  <si>
    <t>Soporte</t>
  </si>
  <si>
    <t>Provee el ambiente, el acceso a las fuentes de SAP y las políticas de seguridad.</t>
  </si>
  <si>
    <t>Profesor guía · Duoc UC</t>
  </si>
  <si>
    <t>Institución</t>
  </si>
  <si>
    <t>Define los requisitos académicos y evalúa el proyecto.</t>
  </si>
  <si>
    <t>Restricciones del proyecto</t>
  </si>
  <si>
    <t>ID</t>
  </si>
  <si>
    <t>Restricción</t>
  </si>
  <si>
    <t>Origen</t>
  </si>
  <si>
    <t>RES-01</t>
  </si>
  <si>
    <t>La aplicación se construye en Streamlit y la operan los usuarios de negocio.</t>
  </si>
  <si>
    <t>Profesor guía</t>
  </si>
  <si>
    <t>RES-02</t>
  </si>
  <si>
    <t>El ciclo de vida de los modelos sigue la metodología CRISP-DM.</t>
  </si>
  <si>
    <t>RES-03</t>
  </si>
  <si>
    <t>La gestión del proyecto es tradicional (cascada): Carta Gantt y backlog de tareas en Jira.</t>
  </si>
  <si>
    <t>RES-04</t>
  </si>
  <si>
    <t>El uso de datos reales exige un acuerdo de confidencialidad firmado por el profesor y la institución.</t>
  </si>
  <si>
    <t>Inchcape</t>
  </si>
  <si>
    <t>RES-05</t>
  </si>
  <si>
    <t>La demo funcional debe presentar un avance mínimo de 50% en la semana del 9 de octubre de 2026.</t>
  </si>
  <si>
    <t>Duoc UC</t>
  </si>
  <si>
    <t>Resumen de la toma de requerimientos</t>
  </si>
  <si>
    <t>Indicadores calculados con fórmulas sobre las hojas Requerimientos y Pruebas por requerimiento: se actualizan al cambiar un estado o un resultado.</t>
  </si>
  <si>
    <t>Funcionales</t>
  </si>
  <si>
    <t>No funcionales</t>
  </si>
  <si>
    <t>Casos de prueba vinculados</t>
  </si>
  <si>
    <t>Avance de implementación</t>
  </si>
  <si>
    <t>Casos ejecutados</t>
  </si>
  <si>
    <t>Avance ponderado: Implementado = 100%, Parcial = 50%, Pendiente = 0%. Los casos ejecutados se cuentan desde la columna Resultado de la hoja de pruebas.</t>
  </si>
  <si>
    <t>Estado por etapa, en el orden de la secuencia</t>
  </si>
  <si>
    <t>Estado de implementación por etapa</t>
  </si>
  <si>
    <t>Implementado</t>
  </si>
  <si>
    <t>Parcial</t>
  </si>
  <si>
    <t>Pendiente</t>
  </si>
  <si>
    <t>Avance</t>
  </si>
  <si>
    <t>Total</t>
  </si>
  <si>
    <t>Estado por prioridad</t>
  </si>
  <si>
    <t>Prioridad</t>
  </si>
  <si>
    <t>Alta</t>
  </si>
  <si>
    <t>Media</t>
  </si>
  <si>
    <t>Baja</t>
  </si>
  <si>
    <t>Cobertura de pruebas</t>
  </si>
  <si>
    <t>Requerimientos cubiertos por el plan 21-09</t>
  </si>
  <si>
    <t>Requerimientos cubiertos solo con caso propuesto</t>
  </si>
  <si>
    <t>Casos del plan 21-09</t>
  </si>
  <si>
    <t>Casos propuestos</t>
  </si>
  <si>
    <t>Toma de requerimientos</t>
  </si>
  <si>
    <t>Requerimientos funcionales y no funcionales en la secuencia lógica del proceso. Cada uno declara de qué requerimiento depende y qué casos del plan de pruebas lo verifican.</t>
  </si>
  <si>
    <t>Casos de prueba: principal = el caso verifica el requerimiento · adicional = lo ejercita dentro de una prueba E2E o de aceptación. Estado verificado contra el código del repositorio al 27-09-2026.</t>
  </si>
  <si>
    <t>Nº</t>
  </si>
  <si>
    <t>Requerimiento</t>
  </si>
  <si>
    <t>Descripción</t>
  </si>
  <si>
    <t>Tipo</t>
  </si>
  <si>
    <t>Característica
ISO/IEC 25010</t>
  </si>
  <si>
    <t>Solicitante</t>
  </si>
  <si>
    <t>Depende de</t>
  </si>
  <si>
    <t>Criterio de aceptación</t>
  </si>
  <si>
    <t>Casos de prueba
(principal)</t>
  </si>
  <si>
    <t>Casos de prueba
(adicional)</t>
  </si>
  <si>
    <t>Implementación</t>
  </si>
  <si>
    <t>Estado</t>
  </si>
  <si>
    <t>Observaciones</t>
  </si>
  <si>
    <t>RF-01</t>
  </si>
  <si>
    <t>Cargar las fuentes del ciclo mensual</t>
  </si>
  <si>
    <t>El sistema debe permitir cargar las fuentes del mes —venta, pedidos, forecast del ciclo S&amp;OP, stock, tránsito, maestro de materiales, cadena de reemplazo y parque vehicular— y mostrar al término la fecha de carga y la cantidad de registros procesados.</t>
  </si>
  <si>
    <t>Funcional</t>
  </si>
  <si>
    <t>Adecuación funcional</t>
  </si>
  <si>
    <t>Planificación de demanda</t>
  </si>
  <si>
    <t>El resumen en pantalla coincide con la cantidad de filas de los archivos de origen.</t>
  </si>
  <si>
    <t>MTC_0010</t>
  </si>
  <si>
    <t>MTC_00110
MTC_00470</t>
  </si>
  <si>
    <t>Módulo 1 · Carga de datos
apt.pipeline.carga</t>
  </si>
  <si>
    <t>138.960 registros cargados en 0,86 s sobre el conjunto sintético.</t>
  </si>
  <si>
    <t>RF-02</t>
  </si>
  <si>
    <t>Validar la estructura de los archivos</t>
  </si>
  <si>
    <t>El sistema debe verificar que cada archivo tenga registros y todas sus columnas obligatorias antes de procesarlo. Si no las tiene, debe rechazarlo, informar qué columnas faltan y no persistir ningún registro.</t>
  </si>
  <si>
    <t>Sistema (proceso automático)</t>
  </si>
  <si>
    <t>El mensaje nombra las columnas ausentes y la base de datos no queda alterada.</t>
  </si>
  <si>
    <t>MTC_0020
MTC_0030</t>
  </si>
  <si>
    <t>Módulo 1 · Carga de datos
apt.pipeline.validacion</t>
  </si>
  <si>
    <t>Reglas «archivo no vacío» y «columnas obligatorias», con severidad ERROR que detiene la carga.</t>
  </si>
  <si>
    <t>RF-03</t>
  </si>
  <si>
    <t>Aplicar las reglas de calidad de datos</t>
  </si>
  <si>
    <t>El sistema debe detectar registros duplicados, cantidades negativas, períodos sin venta y materiales inexistentes en el maestro; registrar cada hallazgo en el log de calidad, aplicar la regla acordada y continuar con el resto del archivo.</t>
  </si>
  <si>
    <t>El log informa la cantidad exacta de hallazgos por regla y la acción aplicada. Ningún registro negativo llega al set de entrenamiento.</t>
  </si>
  <si>
    <t>MTC_0040
MTC_0050
MTC_0060
MTC_0070</t>
  </si>
  <si>
    <t>15 reglas con severidad OK, ADVERTENCIA o ERROR.</t>
  </si>
  <si>
    <t>RF-04</t>
  </si>
  <si>
    <t>Controlar la recarga de un período ya procesado</t>
  </si>
  <si>
    <t>El sistema debe advertir cuando se intenta cargar un período que ya fue procesado y solicitar confirmación explícita antes de sobrescribirlo.</t>
  </si>
  <si>
    <t>Sin confirmación explícita del usuario, la carga existente no se modifica.</t>
  </si>
  <si>
    <t>MTC_00100</t>
  </si>
  <si>
    <t>El pipeline ya es idempotente: reprocesar un mes no duplica datos. Falta la advertencia y la confirmación en la interfaz.</t>
  </si>
  <si>
    <t>RF-05</t>
  </si>
  <si>
    <t>Registrar la trazabilidad de cada carga</t>
  </si>
  <si>
    <t>El sistema debe registrar por cada carga la fecha, el usuario, el volumen leído y cargado por fuente y el resultado de cada regla de validación.</t>
  </si>
  <si>
    <t>El registro permite reconstruir qué datos alimentaron cada proyección publicada.</t>
  </si>
  <si>
    <t>MTC_00120</t>
  </si>
  <si>
    <t>MTC_00510</t>
  </si>
  <si>
    <t>Módulo 1 · Carga de datos
apt.pipeline.carga · ops.log_carga</t>
  </si>
  <si>
    <t>Bitácora de cargas en log_cargas.jsonl y en la tabla ops.log_carga del modelo físico.</t>
  </si>
  <si>
    <t>RF-06</t>
  </si>
  <si>
    <t>Normalizar cada material a su último eslabón vigente</t>
  </si>
  <si>
    <t>El sistema debe resolver la cadena de reemplazo de cada código hasta su último eslabón vigente y consolidar bajo él la venta de sus antecesores. Un material sin antecesor conserva su propio código.</t>
  </si>
  <si>
    <t>La venta del antecesor se suma a la del código vigente sin duplicar unidades; ningún registro queda con último eslabón vacío y una cadena cíclica se detecta sin bucle infinito.</t>
  </si>
  <si>
    <t>MTC_0080
MTC_0090
MTC_00420</t>
  </si>
  <si>
    <t>MTC_00480</t>
  </si>
  <si>
    <t>Pipeline de datos
apt.dominio.normalizacion</t>
  </si>
  <si>
    <t>Es la base para proyectar un código nuevo que reemplaza a otro con historia de venta.</t>
  </si>
  <si>
    <t>RF-07</t>
  </si>
  <si>
    <t>Calcular las variables históricas de demanda</t>
  </si>
  <si>
    <t>El sistema debe calcular por material los rezagos de 1, 3, 6 y 12 meses, las medias móviles, la tendencia y la proporción de meses sin venta, usando solo información anterior al período que se proyecta.</t>
  </si>
  <si>
    <t>Equipo de proyecto</t>
  </si>
  <si>
    <t>Los valores coinciden con un cálculo manual de control. Un material con menos de 12 meses de historia queda con rezagos nulos y no se descarta del set.</t>
  </si>
  <si>
    <t>MTC_00140
MTC_00150
MTC_00160</t>
  </si>
  <si>
    <t>Pipeline de datos
apt.dominio.features</t>
  </si>
  <si>
    <t>Las medias móviles excluyen el período objetivo para evitar fuga de información.</t>
  </si>
  <si>
    <t>RF-08</t>
  </si>
  <si>
    <t>Clasificar cada material según su Apertura Parque</t>
  </si>
  <si>
    <t>El sistema debe cruzar cada material con el maestro de vigencia y clasificarlo como Vigente, No Vigente o Nuevo. Un material sin clasificación informada recibe el valor por defecto acordado y no se pierde del set.</t>
  </si>
  <si>
    <t>La clasificación coincide con el maestro para el 100% de los materiales cruzados y el total de materiales no disminuye tras el cruce.</t>
  </si>
  <si>
    <t>MTC_00170
MTC_00180</t>
  </si>
  <si>
    <t>MTC_00250</t>
  </si>
  <si>
    <t>La clasificación se cruza y se valida contra un dominio cerrado. Falta acordar con el negocio el valor por defecto para materiales sin clasificación.</t>
  </si>
  <si>
    <t>RF-09</t>
  </si>
  <si>
    <t>Particionar los datos respetando el orden temporal</t>
  </si>
  <si>
    <t>El sistema debe separar los datos de entrenamiento y de prueba por fecha, de modo que el conjunto de prueba contenga únicamente períodos posteriores a los del entrenamiento.</t>
  </si>
  <si>
    <t>Ningún período del conjunto de prueba aparece en el de entrenamiento.</t>
  </si>
  <si>
    <t>MTC_00190</t>
  </si>
  <si>
    <t>Se reservan los últimos 6 períodos para prueba (parámetro APT_PERIODOS_PRUEBA).</t>
  </si>
  <si>
    <t>RF-10</t>
  </si>
  <si>
    <t>Calcular el fill rate y su brecha contra la meta</t>
  </si>
  <si>
    <t>El sistema debe calcular el fill rate en líneas y en unidades con las clases de documento de SAP —ZRDP y Z300 como línea atendida, ZVDP y ZVOR como VOR—, abrirlo por marca, familia y segmento, y expresar la brecha contra la meta de 90% en puntos porcentuales y en líneas por recuperar.</t>
  </si>
  <si>
    <t>El valor coincide con el reporte de fill rate de SAP del mismo período. Una clase de documento desconocida detiene el cálculo en lugar de omitirse en silencio.</t>
  </si>
  <si>
    <t>MTC_00590</t>
  </si>
  <si>
    <t>Resumen
apt.dominio.fill_rate</t>
  </si>
  <si>
    <t>Cubierto por 9 pruebas automatizadas (tests/test_fill_rate.py). No tenía caso en el plan: se propone MTC_00590.</t>
  </si>
  <si>
    <t>RF-11</t>
  </si>
  <si>
    <t>Medir el error de pronóstico con WMAPE, ERP y ERN</t>
  </si>
  <si>
    <t>El sistema debe calcular el WMAPE, el error por exceso (ERP) y el error por defecto (ERN) del modelo y del forecast vigente del ciclo S&amp;OP sobre los mismos períodos, sin fallar cuando la venta es cero.</t>
  </si>
  <si>
    <t>Las tres métricas coinciden con el cálculo manual del caso de control, y el caso con venta cero se maneja sin división por cero.</t>
  </si>
  <si>
    <t>MTC_00430</t>
  </si>
  <si>
    <t>Pipeline de modelos
apt.dominio.metricas</t>
  </si>
  <si>
    <t>El ERN es el error que produce quiebre y afecta el fill rate; el ERP solo inmoviliza capital.</t>
  </si>
  <si>
    <t>RF-12</t>
  </si>
  <si>
    <t>Entrenar y validar los modelos candidatos</t>
  </si>
  <si>
    <t>El sistema debe entrenar al menos tres modelos candidatos —naive, media móvil y gradient boosting—, evaluarlos con backtesting contra cinco criterios de aceptación y asignar a cada segmento (AA, A, B, C, N) el de menor error.</t>
  </si>
  <si>
    <t>Administrador del sistema</t>
  </si>
  <si>
    <t>El modelo asignado a cada segmento no tiene un WMAPE mayor que ningún otro candidato en ese segmento.</t>
  </si>
  <si>
    <t>MTC_00600</t>
  </si>
  <si>
    <t>MTC_00490</t>
  </si>
  <si>
    <t>Pipeline de modelos
apt.modelos.entrenamiento · backtesting</t>
  </si>
  <si>
    <t>GBM seleccionado en los cinco segmentos: WMAPE 0,3286, 6,4 puntos mejor que el forecast vigente. Cubierto por 13 pruebas automatizadas. Se propone MTC_00600.</t>
  </si>
  <si>
    <t>RF-13</t>
  </si>
  <si>
    <t>Publicar únicamente versiones aprobadas</t>
  </si>
  <si>
    <t>El sistema debe impedir la publicación de una versión del modelo que no haya superado los cinco criterios de aceptación del backtesting, e informar qué criterio no se cumplió.</t>
  </si>
  <si>
    <t>Ningún modelo sin validación aprobada queda disponible para el negocio.</t>
  </si>
  <si>
    <t>MTC_00380</t>
  </si>
  <si>
    <t>Módulo 6 · Gestión de modelos
apt.modelos.registro</t>
  </si>
  <si>
    <t>La regla se aplica en la aplicación (cinco criterios) y en la base de datos (restricción ck_modelo_publicacion).</t>
  </si>
  <si>
    <t>RF-14</t>
  </si>
  <si>
    <t>Mantener el historial de versiones del modelo</t>
  </si>
  <si>
    <t>El sistema debe listar todas las versiones entrenadas con su fecha de entrenamiento, algoritmo por segmento, WMAPE de validación, criterios cumplidos y estado; y, si fue publicada, la fecha y quién la aprobó.</t>
  </si>
  <si>
    <t>Cada versión muestra su WMAPE de validación y la fecha en que fue publicada.</t>
  </si>
  <si>
    <t>MTC_00360</t>
  </si>
  <si>
    <t>MTC_00490
MTC_00510</t>
  </si>
  <si>
    <t>Los parámetros de entrenamiento quedan guardados en el registro de cada versión.</t>
  </si>
  <si>
    <t>RF-15</t>
  </si>
  <si>
    <t>Restituir una versión anterior del modelo</t>
  </si>
  <si>
    <t>El sistema debe permitir al administrador volver a publicar una versión anterior que haya sido validada, dejándola como vigente.</t>
  </si>
  <si>
    <t>Tras el cambio, la proyección mostrada corresponde a la versión restituida.</t>
  </si>
  <si>
    <t>MTC_00370</t>
  </si>
  <si>
    <t>Hoy solo se publican versiones en estado «validado»; una versión reemplazada no puede volver a publicarse.</t>
  </si>
  <si>
    <t>RF-16</t>
  </si>
  <si>
    <t>Consultar la proyección de demanda con filtros</t>
  </si>
  <si>
    <t>El sistema debe mostrar la proyección por material y permitir filtrarla por marca, familia, segmento, Apertura Parque y período. Una combinación sin resultados debe informarse con un mensaje, no con una tabla vacía ni un error.</t>
  </si>
  <si>
    <t>El total desplegado coincide con la suma de la proyección filtrada, y los filtros combinados devuelven un subconjunto del filtro simple.</t>
  </si>
  <si>
    <t>MTC_00200
MTC_00210
MTC_00220</t>
  </si>
  <si>
    <t>MTC_00470</t>
  </si>
  <si>
    <t>Módulo 2 · Proyección de demanda
apt.app.main</t>
  </si>
  <si>
    <t>Filtros de marca, familia, segmento y Apertura Parque operativos. Falta el filtro por período: hoy se muestra el último.</t>
  </si>
  <si>
    <t>RF-17</t>
  </si>
  <si>
    <t>Ordenar la proyección por riesgo de quiebre</t>
  </si>
  <si>
    <t>El sistema debe ordenar los materiales de mayor a menor riesgo de quiebre, comparando la proyección contra el stock libre y el tránsito.</t>
  </si>
  <si>
    <t>El primer registro tiene la menor cobertura en meses de todo el resultado.</t>
  </si>
  <si>
    <t>MTC_00230</t>
  </si>
  <si>
    <t>Módulo 2 · Proyección de demanda
apt.dominio.cobertura</t>
  </si>
  <si>
    <t>Hoy se ordena por riesgo y luego por demanda proyectada. Para cumplir el criterio, el desempate debe ser la menor cobertura en meses.</t>
  </si>
  <si>
    <t>RF-18</t>
  </si>
  <si>
    <t>Exportar el resultado de la consulta</t>
  </si>
  <si>
    <t>El sistema debe permitir descargar la consulta con los mismos registros y columnas que muestra la pantalla.</t>
  </si>
  <si>
    <t>El archivo contiene la misma cantidad de filas que la tabla en pantalla.</t>
  </si>
  <si>
    <t>MTC_00240</t>
  </si>
  <si>
    <t>Descarga en formato CSV.</t>
  </si>
  <si>
    <t>RF-19</t>
  </si>
  <si>
    <t>Proyectar códigos nuevos sin historial de venta</t>
  </si>
  <si>
    <t>El sistema debe proyectar la demanda de un material sin historia propia a partir del parque vehicular al que sirve y de la venta de su código antecesor, sin dejarlo en cero por omisión.</t>
  </si>
  <si>
    <t>RF-08 · RF-12</t>
  </si>
  <si>
    <t>El 100% de los materiales activos recibe proyección, incluidos los que no tienen historial.</t>
  </si>
  <si>
    <t>MTC_00250
MTC_00480</t>
  </si>
  <si>
    <t>Módulo 2 · Proyección de demanda
apt.modelos.backtesting</t>
  </si>
  <si>
    <t>Criterio «cobertura del catálogo» del backtesting: 1.880 de 1.880 materiales con proyección.</t>
  </si>
  <si>
    <t>RF-20</t>
  </si>
  <si>
    <t>Garantizar que la proyección no sea negativa</t>
  </si>
  <si>
    <t>El sistema debe asegurar que ninguna proyección publicada tenga valores negativos.</t>
  </si>
  <si>
    <t>El valor mínimo de la proyección es mayor o igual a cero.</t>
  </si>
  <si>
    <t>MTC_00260</t>
  </si>
  <si>
    <t>Pipeline de modelos
apt.modelos.entrenamiento</t>
  </si>
  <si>
    <t>Es uno de los cinco criterios de aceptación del backtesting.</t>
  </si>
  <si>
    <t>RF-21</t>
  </si>
  <si>
    <t>Recalcular la cobertura según el nivel de servicio</t>
  </si>
  <si>
    <t>El sistema debe calcular la cobertura sugerida por material —proyección más stock de seguridad— y recalcularla cuando el usuario cambia el nivel de servicio objetivo.</t>
  </si>
  <si>
    <t>A mayor nivel de servicio, la cobertura sugerida es mayor o igual.</t>
  </si>
  <si>
    <t>MTC_00300</t>
  </si>
  <si>
    <t>Módulo 4 · Simulación de cobertura
apt.dominio.cobertura</t>
  </si>
  <si>
    <t>Nivel de servicio configurable entre 80% y 99%.</t>
  </si>
  <si>
    <t>RF-22</t>
  </si>
  <si>
    <t>Estimar el impacto sobre el fill rate</t>
  </si>
  <si>
    <t>El sistema debe estimar el fill rate que se obtendría con el escenario de cobertura seleccionado y compararlo con otros niveles de servicio y con la meta.</t>
  </si>
  <si>
    <t>RF-10 · RF-21</t>
  </si>
  <si>
    <t>El resultado se expresa como porcentaje y es reproducible con los mismos insumos.</t>
  </si>
  <si>
    <t>MTC_00310</t>
  </si>
  <si>
    <t>La simulación compara escenarios entre sí; no es un pronóstico del fill rate futuro.</t>
  </si>
  <si>
    <t>RF-23</t>
  </si>
  <si>
    <t>Generar el plan de compra priorizado</t>
  </si>
  <si>
    <t>El sistema debe generar un plan de compra ordenado por criticidad —riesgo de quiebre, código estratégico, segmento y cobertura— con la cantidad sugerida por material. Si no hay materiales en riesgo, debe informarlo en lugar de generar un archivo vacío.</t>
  </si>
  <si>
    <t>Los materiales con menor cobertura aparecen en los primeros lugares del plan.</t>
  </si>
  <si>
    <t>MTC_00330
MTC_00350</t>
  </si>
  <si>
    <t>MTC_00470
MTC_00480</t>
  </si>
  <si>
    <t>Módulo 5 · Plan de compra
apt.dominio.cobertura</t>
  </si>
  <si>
    <t>El plan muestra además el costo estimado de la compra.</t>
  </si>
  <si>
    <t>RF-24</t>
  </si>
  <si>
    <t>Descargar el plan de compra con las columnas acordadas</t>
  </si>
  <si>
    <t>El sistema debe permitir descargar el plan de compra en un archivo que abra en Excel, con las columnas acordadas con el área de Compras y sin columnas técnicas internas.</t>
  </si>
  <si>
    <t>El comprador identifica qué pedir y en qué prioridad sin apoyo del equipo.</t>
  </si>
  <si>
    <t>MTC_00340
MTC_00570</t>
  </si>
  <si>
    <t>Módulo 5 · Plan de compra
apt.app.main</t>
  </si>
  <si>
    <t>La descarga funciona en CSV. Falta acordar con Compras las columnas definitivas y reemplazar los nombres técnicos.</t>
  </si>
  <si>
    <t>RF-25</t>
  </si>
  <si>
    <t>Visualizar el error vigente del modelo</t>
  </si>
  <si>
    <t>El sistema debe mostrar el WMAPE del modelo publicado por segmento contra su umbral, el gráfico de venta real contra proyección de los últimos seis meses y la comparación contra el forecast del ciclo S&amp;OP.</t>
  </si>
  <si>
    <t>El WMAPE mostrado coincide con el cálculo de control sobre los mismos períodos.</t>
  </si>
  <si>
    <t>MTC_00270
MTC_00280
MTC_00580</t>
  </si>
  <si>
    <t>Módulo 3 · Monitoreo del modelo
apt.app.main</t>
  </si>
  <si>
    <t>El gráfico de venta real contra proyección está en la pantalla de Resumen.</t>
  </si>
  <si>
    <t>RF-26</t>
  </si>
  <si>
    <t>Detectar la degradación y habilitar el reentrenamiento</t>
  </si>
  <si>
    <t>El sistema debe alertar cuando el error del modelo vigente supere en más de 20% su error de validación, y permitir reentrenar y publicar una nueva versión.</t>
  </si>
  <si>
    <t>Tras el reentrenamiento, la versión vigente es la nueva y queda registrada en el historial.</t>
  </si>
  <si>
    <t>Módulo 3 · Monitoreo del modelo
apt.modelos.registro</t>
  </si>
  <si>
    <t>La alerta está en la aplicación. El reentrenamiento se ejecuta hoy por línea de comandos (scripts/entrenar_modelos.py).</t>
  </si>
  <si>
    <t>RF-27</t>
  </si>
  <si>
    <t>Ejecutar el ciclo mensual sin intervención técnica</t>
  </si>
  <si>
    <t>El sistema debe permitir al planificador completar el ciclo mensual —carga, proyección, simulación y plan de compra— desde la aplicación, sin intervención del equipo técnico.</t>
  </si>
  <si>
    <t>El plan descargado es coherente con la proyección y con el escenario de cobertura seleccionados.</t>
  </si>
  <si>
    <t>MTC_00560</t>
  </si>
  <si>
    <t>Aplicación completa
apt.app.main</t>
  </si>
  <si>
    <t>Recorrido verificado en la aplicación sobre datos sintéticos; falta la ejecución formal del caso E2E.</t>
  </si>
  <si>
    <t>RF-28</t>
  </si>
  <si>
    <t>Trazar cada recomendación de compra hasta su origen</t>
  </si>
  <si>
    <t>El sistema debe permitir reconstruir, desde una línea del plan de compra, la proyección, la versión del modelo y la carga de datos que la originaron.</t>
  </si>
  <si>
    <t>RF-05 · RF-14</t>
  </si>
  <si>
    <t>Se identifican la versión del modelo y la fecha de carga asociadas a la recomendación.</t>
  </si>
  <si>
    <t>Módulo 5 · Plan de compra
apt.modelos.registro</t>
  </si>
  <si>
    <t>Existen la bitácora de cargas y el registro de versiones. Falta incluir la versión y la carga en cada línea del plan exportado.</t>
  </si>
  <si>
    <t>RF-29</t>
  </si>
  <si>
    <t>Exigir autenticación para acceder</t>
  </si>
  <si>
    <t>El sistema debe exigir inicio de sesión antes de mostrar cualquier dato. Un acceso sin sesión, incluso por URL directa, debe redirigirse al inicio de sesión.</t>
  </si>
  <si>
    <t>Seguridad</t>
  </si>
  <si>
    <t>Todos los usuarios</t>
  </si>
  <si>
    <t>No se visualiza ningún dato de proyección ni de venta sin autenticación.</t>
  </si>
  <si>
    <t>MTC_00390</t>
  </si>
  <si>
    <t>Hoy la aplicación se ejecuta en red local sin inicio de sesión.</t>
  </si>
  <si>
    <t>RF-30</t>
  </si>
  <si>
    <t>Restringir funciones según el perfil del usuario</t>
  </si>
  <si>
    <t>El sistema debe restringir la gestión de modelos al perfil administrador: un planificador no debe verla ni acceder a ella.</t>
  </si>
  <si>
    <t>El acceso por URL directa también queda bloqueado.</t>
  </si>
  <si>
    <t>MTC_00400</t>
  </si>
  <si>
    <t>Módulo 6 · Gestión de modelos
apt.app.main</t>
  </si>
  <si>
    <t>Depende del inicio de sesión (RF-29).</t>
  </si>
  <si>
    <t>RNF-01</t>
  </si>
  <si>
    <t>Tiempo de respuesta de la consulta</t>
  </si>
  <si>
    <t>La consulta de la proyección filtrada debe responder en menos de 60 segundos con el catálogo completo cargado.</t>
  </si>
  <si>
    <t>No funcional</t>
  </si>
  <si>
    <t>Eficiencia de desempeño</t>
  </si>
  <si>
    <t>Tiempo de respuesta inferior a 60 segundos.</t>
  </si>
  <si>
    <t>MTC_00520</t>
  </si>
  <si>
    <t>En desarrollo responde en menos de un segundo sobre 1.880 materiales. Falta medir con el catálogo real (225.264 SKU con forecast activo).</t>
  </si>
  <si>
    <t>RNF-02</t>
  </si>
  <si>
    <t>Usuarios concurrentes</t>
  </si>
  <si>
    <t>La aplicación debe atender al menos cinco usuarios concurrentes sin errores de sesión ni resultados cruzados entre usuarios.</t>
  </si>
  <si>
    <t>Sin errores de sesión ni resultados cruzados con 5 usuarios simultáneos.</t>
  </si>
  <si>
    <t>MTC_00540</t>
  </si>
  <si>
    <t>Aplicación completa
Streamlit</t>
  </si>
  <si>
    <t>Streamlit aísla la sesión de cada usuario. Falta la prueba de estrés.</t>
  </si>
  <si>
    <t>RNF-03</t>
  </si>
  <si>
    <t>Confidencialidad de los datos</t>
  </si>
  <si>
    <t>Los datos de la operación no deben salir del ambiente autorizado: la aplicación no envía datos a servicios externos, las credenciales no se versionan y el repositorio solo contiene datos sintéticos.</t>
  </si>
  <si>
    <t>Inchcape · acuerdo de confidencialidad</t>
  </si>
  <si>
    <t>No se registra tráfico hacia destinos fuera del ambiente autorizado.</t>
  </si>
  <si>
    <t>MTC_00550</t>
  </si>
  <si>
    <t>Transversal
.env · .gitignore · docker-compose</t>
  </si>
  <si>
    <t>Credenciales en .env, fuera del repositorio; datos reales excluidos por .gitignore. Falta la captura de tráfico del caso de prueba.</t>
  </si>
  <si>
    <t>RNF-04</t>
  </si>
  <si>
    <t>Reproducibilidad de los resultados</t>
  </si>
  <si>
    <t>Dos ejecuciones del pipeline sobre los mismos insumos deben producir exactamente el mismo set de entrenamiento y la misma proyección.</t>
  </si>
  <si>
    <t>Fiabilidad</t>
  </si>
  <si>
    <t>La comparación de ambos resultados no arroja diferencias.</t>
  </si>
  <si>
    <t>MTC_00500</t>
  </si>
  <si>
    <t>Pipeline completo
apt.pipeline.carga · entrenamiento</t>
  </si>
  <si>
    <t>Semilla fija y pipeline idempotente, verificado por la prueba automatizada test_la_carga_es_idempotente.</t>
  </si>
  <si>
    <t>RNF-05</t>
  </si>
  <si>
    <t>Cobertura de pruebas automatizadas</t>
  </si>
  <si>
    <t>El código debe contar con pruebas automatizadas que cubran al menos el 70% de las líneas de los módulos de preparación de datos y de reglas de negocio.</t>
  </si>
  <si>
    <t>Mantenibilidad</t>
  </si>
  <si>
    <t>Cobertura igual o superior al 70% de las líneas del módulo.</t>
  </si>
  <si>
    <t>MTC_00460</t>
  </si>
  <si>
    <t>Transversal
tests/ · pytest</t>
  </si>
  <si>
    <t>86 pruebas automatizadas. Cobertura de 98% a 100% en el dominio y de 80% a 90% en el pipeline de carga.</t>
  </si>
  <si>
    <t>RNF-06</t>
  </si>
  <si>
    <t>Compatibilidad con los archivos de SAP</t>
  </si>
  <si>
    <t>El sistema debe leer los archivos exportados desde SAP en codificación latin-1 sin corromper tildes ni la letra ñ.</t>
  </si>
  <si>
    <t>Compatibilidad</t>
  </si>
  <si>
    <t>Ninguna descripción muestra caracteres de reemplazo.</t>
  </si>
  <si>
    <t>MTC_00110</t>
  </si>
  <si>
    <t>La lectura intenta UTF-8 y, si falla, usa latin-1.</t>
  </si>
  <si>
    <t>RNF-07</t>
  </si>
  <si>
    <t>Operación por usuarios de negocio</t>
  </si>
  <si>
    <t>Un usuario de negocio capacitado con el manual debe poder operar el ciclo mensual e interpretar la proyección, el plan de compra y el monitoreo sin asistencia del equipo de desarrollo.</t>
  </si>
  <si>
    <t>Usabilidad</t>
  </si>
  <si>
    <t>El usuario completa el ciclo y declara conformidad con el resultado.</t>
  </si>
  <si>
    <t>MTC_00570
MTC_00580</t>
  </si>
  <si>
    <t>Interfaz en español con seis módulos. Faltan el manual de usuario y las pruebas de aceptación con usuarios.</t>
  </si>
  <si>
    <t>RNF-08</t>
  </si>
  <si>
    <t>Despliegue en contenedores</t>
  </si>
  <si>
    <t>El sistema debe desplegarse con Docker Compose —aplicación, base de datos PostgreSQL, pipeline y pruebas— con un solo comando y sin credenciales escritas en el código.</t>
  </si>
  <si>
    <t>Portabilidad</t>
  </si>
  <si>
    <t>Ambos servicios quedan en estado healthy y la aplicación responde en el puerto 8501.</t>
  </si>
  <si>
    <t>MTC_00610</t>
  </si>
  <si>
    <t>Transversal
Dockerfile · docker-compose.yml</t>
  </si>
  <si>
    <t>Dockerfile de tres etapas y compose con cuatro servicios. Falta verificar la construcción en un equipo con Docker instalado. Se propone MTC_00610.</t>
  </si>
  <si>
    <t>Matriz de trazabilidad requerimiento–caso de prueba</t>
  </si>
  <si>
    <t>Los casos están ordenados según la secuencia de los requerimientos: la diagonal muestra que cada etapa se verifica antes de la siguiente.</t>
  </si>
  <si>
    <t>●  el caso verifica el requerimiento (principal)     ○  lo ejercita dentro de una prueba E2E o de aceptación     Columnas en amarillo: casos propuestos para cerrar brechas.</t>
  </si>
  <si>
    <t>MTC_0020</t>
  </si>
  <si>
    <t>MTC_0030</t>
  </si>
  <si>
    <t>MTC_0040</t>
  </si>
  <si>
    <t>MTC_0050</t>
  </si>
  <si>
    <t>MTC_0060</t>
  </si>
  <si>
    <t>MTC_0070</t>
  </si>
  <si>
    <t>MTC_0080</t>
  </si>
  <si>
    <t>MTC_0090</t>
  </si>
  <si>
    <t>MTC_00420</t>
  </si>
  <si>
    <t>MTC_00140</t>
  </si>
  <si>
    <t>MTC_00150</t>
  </si>
  <si>
    <t>MTC_00160</t>
  </si>
  <si>
    <t>MTC_00170</t>
  </si>
  <si>
    <t>MTC_00180</t>
  </si>
  <si>
    <t>MTC_00200</t>
  </si>
  <si>
    <t>MTC_00210</t>
  </si>
  <si>
    <t>MTC_00220</t>
  </si>
  <si>
    <t>MTC_00330</t>
  </si>
  <si>
    <t>MTC_00350</t>
  </si>
  <si>
    <t>MTC_00340</t>
  </si>
  <si>
    <t>MTC_00570</t>
  </si>
  <si>
    <t>MTC_00270</t>
  </si>
  <si>
    <t>MTC_00280</t>
  </si>
  <si>
    <t>MTC_00580</t>
  </si>
  <si>
    <t>Casos del plan</t>
  </si>
  <si>
    <t>Cobertura</t>
  </si>
  <si>
    <t>●</t>
  </si>
  <si>
    <t>○</t>
  </si>
  <si>
    <t>Requerimientos que verifica (●)</t>
  </si>
  <si>
    <t>Requerimientos que ejercita (● y ○)</t>
  </si>
  <si>
    <t>Control: la fila «Requerimientos que verifica» debe valer 1 en cada caso. Cada caso del plan verifica exactamente un requerimiento principal.</t>
  </si>
  <si>
    <t>Plan de pruebas ordenado por requerimiento</t>
  </si>
  <si>
    <t>Los 51 casos del plan de certificación (versión 21-09) agrupados bajo el requerimiento que verifican, en la secuencia de la toma de requerimientos. Se agregan 3 casos propuestos.</t>
  </si>
  <si>
    <t>Los casos propuestos (MTC_00590 a MTC_00610) cubren requerimientos que el plan no verificaba y están marcados en la columna Origen.</t>
  </si>
  <si>
    <t>Req.</t>
  </si>
  <si>
    <t>ID caso</t>
  </si>
  <si>
    <t>Nombre de la prueba</t>
  </si>
  <si>
    <t>Estrategia</t>
  </si>
  <si>
    <t>Módulo a probar</t>
  </si>
  <si>
    <t>Pre condición</t>
  </si>
  <si>
    <t>Datos de prueba</t>
  </si>
  <si>
    <t>Resultado esperado</t>
  </si>
  <si>
    <t>Automatizable</t>
  </si>
  <si>
    <t>Resultado</t>
  </si>
  <si>
    <t>Responsable</t>
  </si>
  <si>
    <t>Cargar archivo de venta con estructura válida</t>
  </si>
  <si>
    <t>Caja Negra</t>
  </si>
  <si>
    <t>Carga de datos</t>
  </si>
  <si>
    <t>Usuario autenticado con perfil planificador y archivo de venta disponible.</t>
  </si>
  <si>
    <t>100.000 materiales y 6 meses de venta. Usuario: planificador.test (ambiente de pruebas).</t>
  </si>
  <si>
    <t>procesa el archivo y muestra fecha de carga, cantidad de registros.</t>
  </si>
  <si>
    <t>El resumen en pantalla debe coincidir con el número de filas del archivo de origen.</t>
  </si>
  <si>
    <t>SI</t>
  </si>
  <si>
    <t>No ejecutado</t>
  </si>
  <si>
    <t>Angelo Henríquez</t>
  </si>
  <si>
    <t>Plan 21-09</t>
  </si>
  <si>
    <t>Rechazar archivo con columnas obligatorias faltantes</t>
  </si>
  <si>
    <t>Usuario autenticado. Archivo de prueba sin la columna «Último Eslabón».</t>
  </si>
  <si>
    <t xml:space="preserve">Archivo venta_sin_columna.csv </t>
  </si>
  <si>
    <t>El sistema rechaza el archivo e indica qué columnas faltan, sin persistir ningún registro.</t>
  </si>
  <si>
    <t>El mensaje debe nombrar las columnas ausentes y la base no debe quedar alterada.</t>
  </si>
  <si>
    <t>Rechazar archivo sin registros</t>
  </si>
  <si>
    <t>Usuario autenticado. Archivo con encabezado y sin filas.</t>
  </si>
  <si>
    <t>Archivo venta_vacia.csv (solo encabezados).</t>
  </si>
  <si>
    <t>El sistema informa que el archivo no contiene registros y no ejecuta el proceso.</t>
  </si>
  <si>
    <t>Debe mostrarse un mensaje explícito y el estado de la última carga no debe cambiar.</t>
  </si>
  <si>
    <t>Detectar registros duplicados de material y período</t>
  </si>
  <si>
    <t>Usuario autenticado. Archivo con filas duplicadas intencionales.</t>
  </si>
  <si>
    <t>50 materiales-período duplicados.</t>
  </si>
  <si>
    <t>Los duplicados se reportan en el log de calidad y se consolidan según la regla acordada con el negocio.</t>
  </si>
  <si>
    <t>El log debe informar la cantidad exacta de duplicados detectados y la acción aplicada.</t>
  </si>
  <si>
    <t>Tratar cantidades negativas en la venta</t>
  </si>
  <si>
    <t>Usuario autenticado. Archivo con devoluciones cargadas como cantidad negativa.</t>
  </si>
  <si>
    <t>30 registros de cantidad negativa.</t>
  </si>
  <si>
    <t>Las cantidades negativas se marcan como atípicas, se excluyen del entrenamiento y quedan registradas en el log.</t>
  </si>
  <si>
    <t>Ningún registro negativo debe llegar al set de entrenamiento.</t>
  </si>
  <si>
    <t>Detectar períodos faltantes en la serie de un material</t>
  </si>
  <si>
    <t>Hibrido</t>
  </si>
  <si>
    <t>Usuario autenticado. Archivo con materiales que no venden todos los meses.</t>
  </si>
  <si>
    <t>200 materiales de venta intermitente.</t>
  </si>
  <si>
    <t>El sistema alerta los materiales con meses sin registro y los completa con cero según la regla definida.</t>
  </si>
  <si>
    <t>La serie resultante debe tener 6 períodos continuos por material.</t>
  </si>
  <si>
    <t>Reportar material inexistente en el maestro</t>
  </si>
  <si>
    <t>Usuario autenticado. Archivo con códigos que no existen en el maestro de materiales.</t>
  </si>
  <si>
    <t>Set enmascarado con 15 códigos inexistentes.</t>
  </si>
  <si>
    <t>La fila se reporta como «sin maestro» en el log de calidad y no interrumpe la carga del resto del archivo.</t>
  </si>
  <si>
    <t>La carga debe completarse y el log debe listar los códigos no encontrados.</t>
  </si>
  <si>
    <t>Advertir la recarga de un período ya procesado</t>
  </si>
  <si>
    <t>Usuario autenticado. El período jul-2026 ya fue cargado previamente.</t>
  </si>
  <si>
    <t>Mismo archivo del set enmascarado, cargado por segunda vez.</t>
  </si>
  <si>
    <t>El sistema advierte que el período ya fue cargado y solicita confirmación antes de sobrescribir.</t>
  </si>
  <si>
    <t>Sin confirmación explícita del usuario no debe modificarse la carga existente.</t>
  </si>
  <si>
    <t>NO</t>
  </si>
  <si>
    <t>Usuario autenticado. Al menos una carga ejecutada.</t>
  </si>
  <si>
    <t>Queda registrada la fecha, el usuario, el volumen procesado y el resultado de cada validación.</t>
  </si>
  <si>
    <t>El registro debe permitir reconstruir qué datos alimentaron cada proyección publicada.</t>
  </si>
  <si>
    <t>Normalizar el material a su último eslabón vigente</t>
  </si>
  <si>
    <t>Usuario autenticado. Maestro de cadena de reemplazo cargado.</t>
  </si>
  <si>
    <t>Set enmascarado con 40 materiales reemplazados en cadenas de 2 y 3 eslabones.</t>
  </si>
  <si>
    <t>Los materiales con código antecesor quedan consolidados bajo el código vigente de la cadena de reemplazo.</t>
  </si>
  <si>
    <t>La venta del antecesor debe sumarse a la del código vigente, sin duplicar unidades.</t>
  </si>
  <si>
    <t>Conservar el código propio cuando el material no tiene antecesor</t>
  </si>
  <si>
    <t>materiales fuera de la cadena de reemplazo.</t>
  </si>
  <si>
    <t>El material sin antecesor mantiene su propio código como último eslabón, sin quedar nulo.</t>
  </si>
  <si>
    <t>Ningún registro debe quedar con último eslabón vacío tras la normalización.</t>
  </si>
  <si>
    <t>Prueba unitaria de la resolución de la cadena de reemplazo</t>
  </si>
  <si>
    <t>Código</t>
  </si>
  <si>
    <t>Caja Blanca</t>
  </si>
  <si>
    <t>Modelo de datos</t>
  </si>
  <si>
    <t>Entorno de pruebas con el maestro de reemplazo simulado.</t>
  </si>
  <si>
    <t>Casos: sin antecesor, cadena de 2 niveles y cadena de 3 niveles.</t>
  </si>
  <si>
    <t>La función devuelve el último eslabón vigente para cadenas de uno, dos y tres niveles.</t>
  </si>
  <si>
    <t>Las tres aserciones deben pasar y no debe producirse recursión infinita en cadenas cíclicas.</t>
  </si>
  <si>
    <t>Por asignar</t>
  </si>
  <si>
    <t>Calcular rezagos en materiales con menos de 12 meses de historia</t>
  </si>
  <si>
    <t>Carga ejecutada. Existen materiales creados hace menos de un año.</t>
  </si>
  <si>
    <t>Set enmascarado con 100 materiales de alta reciente.</t>
  </si>
  <si>
    <t>Los rezagos no disponibles quedan nulos y el proceso continúa sin error.</t>
  </si>
  <si>
    <t>El proceso no debe interrumpirse ni descartar esos materiales del set.</t>
  </si>
  <si>
    <t>Calcular media y tendencia por material</t>
  </si>
  <si>
    <t>Carga ejecutada con al menos 6 meses de historia.</t>
  </si>
  <si>
    <t>Set enmascarado con 6 meses de historia.</t>
  </si>
  <si>
    <t>Ambas variables se calculan y quedan disponibles en el set de entrenamiento.</t>
  </si>
  <si>
    <t>Los valores deben coincidir con el cálculo manual de control sobre una muestra de 10 materiales.</t>
  </si>
  <si>
    <t>Calcular la proporción de meses sin venta</t>
  </si>
  <si>
    <t>Carga ejecutada con la serie completada.</t>
  </si>
  <si>
    <t>Set enmascarado con 200 materiales de venta intermitente.</t>
  </si>
  <si>
    <t>La variable de intermitencia refleja correctamente los meses en cero de cada material.</t>
  </si>
  <si>
    <t>Un material con 1 de 3 meses sin venta debe registrar 0,33.</t>
  </si>
  <si>
    <t>Cruzar la Apertura Parque del maestro de vigencia</t>
  </si>
  <si>
    <t>Carga ejecutada y maestro de vigencia disponible.</t>
  </si>
  <si>
    <t>Set enmascarado con materiales de las tres categorías.</t>
  </si>
  <si>
    <t>Cada material queda clasificado como Vigente, No Vigente o Nuevo según el maestro.</t>
  </si>
  <si>
    <t>La clasificación debe coincidir con el maestro para el 100% de los materiales cruzados.</t>
  </si>
  <si>
    <t>Tratar materiales sin Apertura Parque informada</t>
  </si>
  <si>
    <t>Carga ejecutada con materiales fuera del maestro de vigencia.</t>
  </si>
  <si>
    <t>Set enmascarado con 25 materiales sin vigencia informada.</t>
  </si>
  <si>
    <t>El material recibe el valor por defecto acordado y no se pierde del set de entrenamiento.</t>
  </si>
  <si>
    <t>La cantidad de materiales del set no debe disminuir tras el cruce.</t>
  </si>
  <si>
    <t>Particionar entrenamiento y prueba sin fuga temporal</t>
  </si>
  <si>
    <t>Set de entrenamiento construido.</t>
  </si>
  <si>
    <t>Set enmascarado particionado en 6 meses de entrenamiento y 3 de prueba.</t>
  </si>
  <si>
    <t>El conjunto de prueba contiene únicamente períodos posteriores a los del conjunto de entrenamiento.</t>
  </si>
  <si>
    <t>Ningún período del conjunto de prueba puede aparecer en el de entrenamiento.</t>
  </si>
  <si>
    <t>Calcular el fill rate del período con las clases de documento de SAP</t>
  </si>
  <si>
    <t>Resumen</t>
  </si>
  <si>
    <t>Carga de pedidos del período ejecutada.</t>
  </si>
  <si>
    <t>Pedidos del set enmascarado con líneas ZRDP, Z300, ZVDP y ZVOR.</t>
  </si>
  <si>
    <t>El fill rate en líneas se calcula como líneas atendidas sobre líneas totales, con ZRDP y Z300 como atendidas y ZVDP y ZVOR como VOR, y se muestra la brecha contra la meta.</t>
  </si>
  <si>
    <t>El valor coincide con el reporte de fill rate de SAP del mismo período.</t>
  </si>
  <si>
    <t>Propuesto</t>
  </si>
  <si>
    <t>Prueba unitaria del cálculo de WMAPE, ERP y ERN</t>
  </si>
  <si>
    <t>Modelado</t>
  </si>
  <si>
    <t>Entorno de pruebas con datos sintéticos de venta y forecast.</t>
  </si>
  <si>
    <t>Venta = 100 y forecast = 80; venta = 80 y forecast = 100; venta = 0.</t>
  </si>
  <si>
    <t>Las tres métricas coinciden con los valores calculados manualmente para el caso de control.</t>
  </si>
  <si>
    <t>El caso con venta igual a cero debe manejarse sin división por cero.</t>
  </si>
  <si>
    <t>Entrenar los modelos candidatos y seleccionar el mejor por segmento</t>
  </si>
  <si>
    <t>Set de entrenamiento construido y particionado.</t>
  </si>
  <si>
    <t>Set enmascarado con materiales de los cinco segmentos.</t>
  </si>
  <si>
    <t>Se entrenan los modelos naive, media móvil y gradient boosting, y cada segmento queda asignado al candidato de menor WMAPE.</t>
  </si>
  <si>
    <t>Impedir la publicación de un modelo sin backtesting aprobado</t>
  </si>
  <si>
    <t>Gestión de modelos</t>
  </si>
  <si>
    <t>Usuario administrador. Modelo entrenado que no supera el umbral de su segmento.</t>
  </si>
  <si>
    <t>Modelo de prueba con WMAPE por sobre el criterio definido.</t>
  </si>
  <si>
    <t>La aplicación bloquea la publicación e informa qué criterio de aceptación no se cumplió.</t>
  </si>
  <si>
    <t>Ningún modelo sin validación aprobada debe quedar disponible para el negocio.</t>
  </si>
  <si>
    <t>Listar las versiones de modelo publicadas</t>
  </si>
  <si>
    <t>Usuario autenticado con al menos dos versiones entrenadas.</t>
  </si>
  <si>
    <t>Set enmascarado jul-2026. Usuario: admin.test con perfil de administrador (ambiente de pruebas).</t>
  </si>
  <si>
    <t>Se muestran todas las versiones con fecha de entrenamiento, parámetros y métricas asociadas.</t>
  </si>
  <si>
    <t>Cada versión debe mostrar su WMAPE de validación y la fecha en que fue publicada.</t>
  </si>
  <si>
    <t>Volver a una versión anterior del modelo</t>
  </si>
  <si>
    <t>Usuario con perfil administrador y dos versiones disponibles.</t>
  </si>
  <si>
    <t>La aplicación restituye la versión seleccionada y la marca como vigente.</t>
  </si>
  <si>
    <t>Tras el cambio, la proyección mostrada debe corresponder a la versión restituida.</t>
  </si>
  <si>
    <t>Consultar la proyección filtrando por marca</t>
  </si>
  <si>
    <t>Proyección de demanda</t>
  </si>
  <si>
    <t>Usuario autenticado con modelo publicado vigente.</t>
  </si>
  <si>
    <t>Marca: «Marca A» del set enmascarado.</t>
  </si>
  <si>
    <t>La aplicación devuelve la proyección de los materiales de la marca seleccionada.</t>
  </si>
  <si>
    <t>El total desplegado debe coincidir con la suma de la proyección de esa marca.</t>
  </si>
  <si>
    <t>Consultar con filtros combinados de marca, familia y período</t>
  </si>
  <si>
    <t>Marca «Marca A», familia «Mantención», período ago-2026.</t>
  </si>
  <si>
    <t>La aplicación aplica los tres filtros simultáneamente y devuelve el subconjunto correcto.</t>
  </si>
  <si>
    <t>El resultado debe ser subconjunto del obtenido al filtrar solo por marca.</t>
  </si>
  <si>
    <t>Consultar una combinación de filtros sin resultados</t>
  </si>
  <si>
    <t>Combinación de marca y familia sin materiales asociados.</t>
  </si>
  <si>
    <t>La aplicación muestra un mensaje de «sin resultados» y no arroja error.</t>
  </si>
  <si>
    <t>No debe mostrarse una tabla vacía sin explicación ni un error de aplicación.</t>
  </si>
  <si>
    <t>Ordenar los resultados por riesgo de quiebre</t>
  </si>
  <si>
    <t>Usuario autenticado. Stock y tránsito cargados.</t>
  </si>
  <si>
    <t>Set enmascarado con stock y tránsito del período.</t>
  </si>
  <si>
    <t>La tabla se ordena de mayor a menor riesgo, considerando proyección contra stock y tránsito.</t>
  </si>
  <si>
    <t>El primer registro debe tener la menor cobertura en meses de todo el resultado.</t>
  </si>
  <si>
    <t>Usuario autenticado con una consulta ejecutada.</t>
  </si>
  <si>
    <t>Consulta filtrada por marca «Marca A».</t>
  </si>
  <si>
    <t>Se descarga un archivo con los mismos registros y columnas que muestra la pantalla.</t>
  </si>
  <si>
    <t>El archivo debe contener la misma cantidad de filas que la tabla en pantalla.</t>
  </si>
  <si>
    <t>Proyectar un código nuevo sin historial de venta</t>
  </si>
  <si>
    <t>Usuario autenticado. Material clasificado como «Nuevo» en Apertura Parque.</t>
  </si>
  <si>
    <t>20 materiales creados en el período, sin venta previa.</t>
  </si>
  <si>
    <t>El material recibe proyección a partir del parque vehicular y del código antecesor, y no queda en cero por omisión.</t>
  </si>
  <si>
    <t>El 100% de los materiales activos debe recibir proyección, incluidos los sin historial.</t>
  </si>
  <si>
    <t>Recorrido completo de un código nuevo sin historial</t>
  </si>
  <si>
    <t>End to End</t>
  </si>
  <si>
    <t>Ambiente de pruebas con materiales nuevos en el maestro.</t>
  </si>
  <si>
    <t>El material creado en el período aparece proyectado en la consulta y, si corresponde, en el plan de compra.</t>
  </si>
  <si>
    <t>El material no debe quedar excluido en ninguna etapa del flujo.</t>
  </si>
  <si>
    <t>Verificar que la proyección nunca sea negativa</t>
  </si>
  <si>
    <t>Modelo entrenado y publicado.</t>
  </si>
  <si>
    <t>Proyección completa del período ago-2026.</t>
  </si>
  <si>
    <t>Ninguna proyección publicada presenta valores negativos.</t>
  </si>
  <si>
    <t>El valor mínimo de la proyección debe ser mayor o igual a cero.</t>
  </si>
  <si>
    <t>Recalcular la cobertura al cambiar el nivel de servicio</t>
  </si>
  <si>
    <t>Simulación de cobertura</t>
  </si>
  <si>
    <t>Usuario autenticado con proyección vigente.</t>
  </si>
  <si>
    <t>Niveles de servicio 90%, 95% y 97% sobre el set enmascarado.</t>
  </si>
  <si>
    <t>La cobertura sugerida se recalcula al modificar el nivel de servicio objetivo.</t>
  </si>
  <si>
    <t>A mayor nivel de servicio, la cobertura sugerida debe ser mayor o igual.</t>
  </si>
  <si>
    <t>Mostrar el impacto estimado sobre el fill rate</t>
  </si>
  <si>
    <t>Usuario autenticado con proyección y stock vigentes.</t>
  </si>
  <si>
    <t>Escenario de cobertura al 95% de nivel de servicio.</t>
  </si>
  <si>
    <t>La simulación entrega el fill rate estimado para el escenario de cobertura seleccionado.</t>
  </si>
  <si>
    <t>El resultado debe expresarse como porcentaje y ser reproducible con los mismos insumos.</t>
  </si>
  <si>
    <t>Plan de compra</t>
  </si>
  <si>
    <t>Usuario autenticado con proyección y simulación ejecutadas.</t>
  </si>
  <si>
    <t>Escenario de cobertura al 95% sobre el set enmascarado.</t>
  </si>
  <si>
    <t>La aplicación genera el plan ordenado por criticidad, con la cantidad sugerida por material.</t>
  </si>
  <si>
    <t>Los materiales con menor cobertura deben aparecer en los primeros lugares del plan.</t>
  </si>
  <si>
    <t>Generar el plan cuando no hay quiebres proyectados</t>
  </si>
  <si>
    <t>Usuario autenticado. Escenario con stock suficiente para toda la demanda proyectada.</t>
  </si>
  <si>
    <t>Escenario de prueba con stock holgado.</t>
  </si>
  <si>
    <t>La aplicación informa que no hay materiales en riesgo y no genera un archivo vacío sin aviso.</t>
  </si>
  <si>
    <t>Debe mostrarse un mensaje explícito en lugar de una descarga sin contenido.</t>
  </si>
  <si>
    <t>Descargar el plan con las columnas acordadas con el negocio</t>
  </si>
  <si>
    <t>Usuario autenticado con un plan generado.</t>
  </si>
  <si>
    <t>Plan generado para el período ago-2026.</t>
  </si>
  <si>
    <t>El archivo descargado contiene exactamente las columnas definidas con el área de compras.</t>
  </si>
  <si>
    <t>El archivo debe abrirse en Excel y contener las columnas acordadas, sin columnas técnicas internas.</t>
  </si>
  <si>
    <t>Aceptación del comprador: interpretación del plan de compra</t>
  </si>
  <si>
    <t>UAT</t>
  </si>
  <si>
    <t>Plan de compra generado en el ambiente de pruebas.</t>
  </si>
  <si>
    <t>Plan del período ago-2026 sobre el set enmascarado.</t>
  </si>
  <si>
    <t>El comprador interpreta el plan descargado y puede emitir el pedido sin consultas adicionales.</t>
  </si>
  <si>
    <t>El comprador debe identificar qué pedir y en qué prioridad sin apoyo del equipo.</t>
  </si>
  <si>
    <t>Visualizar el WMAPE vigente por segmento</t>
  </si>
  <si>
    <t>Monitoreo del modelo</t>
  </si>
  <si>
    <t>Usuario autenticado. Existe al menos un período cerrado con venta real.</t>
  </si>
  <si>
    <t>Períodos cerrados may-2026 a jul-2026 del set enmascarado.</t>
  </si>
  <si>
    <t>La aplicación muestra el error del modelo publicado, abierto por segmento de código.</t>
  </si>
  <si>
    <t>El WMAPE mostrado debe coincidir con el cálculo de control sobre los mismos períodos.</t>
  </si>
  <si>
    <t>Visualizar el gráfico de venta real contra proyección</t>
  </si>
  <si>
    <t>Usuario autenticado con 6 períodos cerrados disponibles.</t>
  </si>
  <si>
    <t>Set enmascarado con 6 meses cerrados.</t>
  </si>
  <si>
    <t>Se despliegan los últimos 6 meses con ambas series correctamente etiquetadas.</t>
  </si>
  <si>
    <t>Los valores del gráfico deben coincidir con los de la tabla de detalle.</t>
  </si>
  <si>
    <t>Aceptación de la jefatura: lectura del monitoreo del modelo</t>
  </si>
  <si>
    <t>Ambiente de pruebas con histórico de al menos tres períodos cerrados.</t>
  </si>
  <si>
    <t>Monitoreo de los períodos may-2026 a jul-2026.</t>
  </si>
  <si>
    <t>La jefatura interpreta el WMAPE vigente y la alerta de reentrenamiento sin explicación previa.</t>
  </si>
  <si>
    <t>El usuario debe explicar con sus palabras si el modelo está funcionando bien o no.</t>
  </si>
  <si>
    <t>Detección de degradación del modelo y reentrenamiento</t>
  </si>
  <si>
    <t>Ambiente de pruebas con un modelo degradado de forma controlada.</t>
  </si>
  <si>
    <t>Modelo con error forzado por sobre el umbral del segmento.</t>
  </si>
  <si>
    <t>El sistema detecta el WMAPE sobre el umbral, alerta, permite reentrenar y publicar la nueva versión.</t>
  </si>
  <si>
    <t>Tras el reentrenamiento, la versión vigente debe ser la nueva y quedar registrada en el historial.</t>
  </si>
  <si>
    <t>Ciclo mensual completo: carga, proyección, simulación y plan de compra</t>
  </si>
  <si>
    <t>Ambiente de pruebas con datos del período anterior cargados.</t>
  </si>
  <si>
    <t>El usuario completa el ciclo sin intervención técnica y obtiene el plan de compra descargado.</t>
  </si>
  <si>
    <t>El plan descargado debe ser coherente con la proyección y el escenario de cobertura seleccionados.</t>
  </si>
  <si>
    <t>Trazabilidad de una decisión de compra hasta su origen</t>
  </si>
  <si>
    <t>Ciclo mensual ejecutado completo.</t>
  </si>
  <si>
    <t>Una línea del plan de compra del período ago-2026.</t>
  </si>
  <si>
    <t>Desde una línea del plan de compra se puede reconstruir la proyección, la versión de modelo y la carga que la originaron.</t>
  </si>
  <si>
    <t>Debe identificarse la versión de modelo y la fecha de carga asociadas a esa recomendación.</t>
  </si>
  <si>
    <t>Acceder a la aplicación sin sesión iniciada</t>
  </si>
  <si>
    <t>Navegador sin sesión activa.</t>
  </si>
  <si>
    <t>URL directa de un módulo interno de la aplicación.</t>
  </si>
  <si>
    <t>La aplicación redirige al inicio de sesión y no expone ningún dato.</t>
  </si>
  <si>
    <t>No debe visualizarse ningún dato de proyección ni de venta sin autenticación.</t>
  </si>
  <si>
    <t>Restringir la gestión de modelos a perfiles autorizados</t>
  </si>
  <si>
    <t>Usuario autenticado con perfil planificador.</t>
  </si>
  <si>
    <t>Usuario planificador.test sin permisos de administración.</t>
  </si>
  <si>
    <t>El usuario con perfil planificador no visualiza ni accede al módulo de gestión de modelos.</t>
  </si>
  <si>
    <t>El acceso por URL directa también debe quedar bloqueado.</t>
  </si>
  <si>
    <t>Tiempo de respuesta de la consulta de proyección</t>
  </si>
  <si>
    <t>Rendimiento</t>
  </si>
  <si>
    <t>Ambiente de pruebas con el catálogo completo cargado.</t>
  </si>
  <si>
    <t>Consulta por marca sobre el catálogo completo enmascarado.</t>
  </si>
  <si>
    <t>La consulta filtrada responde dentro del tiempo acordado con el negocio.</t>
  </si>
  <si>
    <t>El tiempo de respuesta debe ser inferior a 60 segundos.</t>
  </si>
  <si>
    <t>Comportamiento con usuarios concurrentes</t>
  </si>
  <si>
    <t>Stress</t>
  </si>
  <si>
    <t>Ambiente de pruebas disponible.</t>
  </si>
  <si>
    <t>5 usuarios concurrentes ejecutando consultas simultáneas.</t>
  </si>
  <si>
    <t>La aplicación mantiene tiempos de respuesta aceptables con varios usuarios consultando en paralelo.</t>
  </si>
  <si>
    <t>No deben producirse errores de sesión ni resultados cruzados entre usuarios.</t>
  </si>
  <si>
    <t>Verificar que los datos no salgan del ambiente autorizado</t>
  </si>
  <si>
    <t>No Funcional</t>
  </si>
  <si>
    <t>Ambiente de pruebas con monitoreo de tráfico de red.</t>
  </si>
  <si>
    <t>Ciclo mensual completo ejecutado con captura de tráfico.</t>
  </si>
  <si>
    <t>La aplicación no envía datos a servicios externos durante su operación normal.</t>
  </si>
  <si>
    <t>No debe registrarse tráfico hacia destinos fuera del ambiente autorizado.</t>
  </si>
  <si>
    <t>Reproducibilidad del pipeline completo</t>
  </si>
  <si>
    <t>Ambiente de pruebas con insumos congelados.</t>
  </si>
  <si>
    <t>Misma carga ejecutada dos veces en el mismo ambiente.</t>
  </si>
  <si>
    <t>Dos ejecuciones sobre los mismos insumos producen exactamente el mismo set de entrenamiento y la misma proyección.</t>
  </si>
  <si>
    <t>La comparación de ambos resultados no debe arrojar diferencias.</t>
  </si>
  <si>
    <t>Medir la cobertura de pruebas del módulo de preparación de datos</t>
  </si>
  <si>
    <t>Suite de pruebas unitarias ejecutable en el repositorio.</t>
  </si>
  <si>
    <t>Ejecución de la suite completa sobre el módulo de preparación.</t>
  </si>
  <si>
    <t>La cobertura de líneas del módulo alcanza el mínimo acordado por el equipo.</t>
  </si>
  <si>
    <t>La cobertura debe ser igual o superior al 70% de las líneas del módulo.</t>
  </si>
  <si>
    <t>Leer archivos con codificación latin-1 sin corromper caracteres</t>
  </si>
  <si>
    <t>Usuario autenticado. Archivo exportado desde SAP en codificación latin-1.</t>
  </si>
  <si>
    <t>Set enmascarado con descripciones que incluyen tildes y ñ.</t>
  </si>
  <si>
    <t>Las descripciones con tilde y ñ se muestran correctamente en la aplicación.</t>
  </si>
  <si>
    <t>Ninguna descripción debe mostrar caracteres de reemplazo.</t>
  </si>
  <si>
    <t>Aceptación del planificador: ciclo mensual sin asistencia técnica</t>
  </si>
  <si>
    <t>Ambiente de pruebas disponible y usuario capacitado con el manual de uso.</t>
  </si>
  <si>
    <t>Escenario del ciclo mensual sobre el set enmascarado.</t>
  </si>
  <si>
    <t>El planificador completa la carga, la revisión de la proyección y la simulación sin apoyo del equipo de desarrollo.</t>
  </si>
  <si>
    <t>El usuario debe completar el ciclo y declarar conformidad con el resultado.</t>
  </si>
  <si>
    <t>Levantar el sistema completo con Docker Compose</t>
  </si>
  <si>
    <t>Equipo con Docker instalado y archivo .env configurado.</t>
  </si>
  <si>
    <t>Repositorio del proyecto en la rama principal.</t>
  </si>
  <si>
    <t>El comando docker compose up levanta la base de datos y la aplicación, y la aplicación responde en el puerto 8501.</t>
  </si>
  <si>
    <t>Ambos servicios quedan en estado healthy.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</si>
</sst>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6"/>
      <color rgb="FF001A41"/>
      <name val="Calibri"/>
    </font>
    <font>
      <sz val="10"/>
      <color rgb="FF858A8C"/>
      <name val="Calibri"/>
    </font>
    <font>
      <i/>
      <sz val="8.5"/>
      <color rgb="FF858A8C"/>
      <name val="Calibri"/>
    </font>
    <font>
      <b/>
      <sz val="9.5"/>
      <color rgb="FFFFFFFF"/>
      <name val="Calibri"/>
    </font>
    <font>
      <sz val="9.5"/>
      <color rgb="FF1F2937"/>
      <name val="Calibri"/>
    </font>
    <font>
      <b/>
      <sz val="9.5"/>
      <color rgb="FF1F2937"/>
      <name val="Calibri"/>
    </font>
    <font>
      <b/>
      <sz val="9.5"/>
      <color rgb="FF001A41"/>
      <name val="Calibri"/>
    </font>
    <font>
      <b/>
      <sz val="9.5"/>
      <color rgb="FF1B6E1B"/>
      <name val="Calibri"/>
    </font>
    <font>
      <b/>
      <sz val="9.5"/>
      <color rgb="FFB02A2A"/>
      <name val="Calibri"/>
    </font>
    <font>
      <b/>
      <sz val="9.5"/>
      <color rgb="FF8A5A00"/>
      <name val="Calibri"/>
    </font>
    <font>
      <b/>
      <sz val="11"/>
      <color rgb="FF001A41"/>
      <name val="Calibri"/>
    </font>
    <font>
      <sz val="11"/>
      <color rgb="FF19BDE6"/>
      <name val="Calibri"/>
    </font>
    <font>
      <sz val="8.5"/>
      <color rgb="FF1F2937"/>
      <name val="Calibri"/>
    </font>
    <font>
      <b/>
      <sz val="9"/>
      <color rgb="FF858A8C"/>
      <name val="Calibri"/>
    </font>
    <font>
      <b/>
      <sz val="22"/>
      <color rgb="FF001A41"/>
      <name val="Calibri"/>
    </font>
    <font>
      <b/>
      <sz val="24"/>
      <color rgb="FF001A41"/>
      <name val="Calibri"/>
    </font>
    <font>
      <sz val="12"/>
      <color rgb="FF858A8C"/>
      <name val="Calibri"/>
    </font>
    <font>
      <b/>
      <sz val="10"/>
      <color rgb="FF001A41"/>
      <name val="Calibri"/>
    </font>
    <font>
      <sz val="10"/>
      <color rgb="FF1F2937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1A41"/>
      </patternFill>
    </fill>
    <fill>
      <patternFill patternType="solid">
        <fgColor rgb="FFEAF7FC"/>
      </patternFill>
    </fill>
    <fill>
      <patternFill patternType="solid">
        <fgColor rgb="FFE6F4E6"/>
      </patternFill>
    </fill>
    <fill>
      <patternFill patternType="solid">
        <fgColor rgb="FFFBE7E7"/>
      </patternFill>
    </fill>
    <fill>
      <patternFill patternType="solid">
        <fgColor rgb="FFF3F5F7"/>
      </patternFill>
    </fill>
    <fill>
      <patternFill patternType="solid">
        <fgColor rgb="FFFFF3D6"/>
      </patternFill>
    </fill>
    <fill>
      <patternFill patternType="solid">
        <fgColor rgb="FFF0A500"/>
      </patternFill>
    </fill>
  </fills>
  <borders count="9">
    <border>
      <left/>
      <right/>
      <top/>
      <bottom/>
      <diagonal/>
    </border>
    <border>
      <left style="thin">
        <color rgb="FFD0D5DA"/>
      </left>
      <right style="thin">
        <color rgb="FFD0D5DA"/>
      </right>
      <top style="thin">
        <color rgb="FFD0D5DA"/>
      </top>
      <bottom style="thin">
        <color rgb="FFD0D5DA"/>
      </bottom>
      <diagonal/>
    </border>
    <border>
      <left style="thin">
        <color rgb="FFD0D5DA"/>
      </left>
      <right style="thin">
        <color rgb="FFD0D5DA"/>
      </right>
      <top style="medium">
        <color rgb="FF001A41"/>
      </top>
      <bottom style="thin">
        <color rgb="FFD0D5DA"/>
      </bottom>
      <diagonal/>
    </border>
    <border>
      <left style="thin">
        <color rgb="FFD0D5DA"/>
      </left>
      <right style="thin">
        <color rgb="FFD0D5DA"/>
      </right>
      <top style="thin">
        <color rgb="FF858A8C"/>
      </top>
      <bottom style="thin">
        <color rgb="FFD0D5DA"/>
      </bottom>
      <diagonal/>
    </border>
    <border>
      <left/>
      <right/>
      <top style="thick">
        <color rgb="FF19BDE6"/>
      </top>
      <bottom/>
      <diagonal/>
    </border>
    <border>
      <left/>
      <right style="thin">
        <color rgb="FFD0D5DA"/>
      </right>
      <top style="thin">
        <color rgb="FFD0D5DA"/>
      </top>
      <bottom style="thin">
        <color rgb="FFD0D5DA"/>
      </bottom>
      <diagonal/>
    </border>
    <border>
      <left/>
      <right/>
      <top/>
      <bottom style="thin">
        <color rgb="FFD0D5DA"/>
      </bottom>
      <diagonal/>
    </border>
    <border>
      <left/>
      <right/>
      <top/>
      <bottom style="thick">
        <color rgb="FF19BDE6"/>
      </bottom>
      <diagonal/>
    </border>
    <border>
      <left/>
      <right/>
      <top style="thin">
        <color rgb="FFD0D5DA"/>
      </top>
      <bottom style="thin">
        <color rgb="FFD0D5DA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6" fillId="0" borderId="0" xfId="0" applyFont="1"/>
    <xf numFmtId="0" fontId="17" fillId="0" borderId="0" xfId="0" applyFont="1"/>
    <xf numFmtId="0" fontId="0" fillId="0" borderId="7" xfId="0" applyBorder="1"/>
    <xf numFmtId="0" fontId="18" fillId="0" borderId="6" xfId="0" applyFont="1" applyBorder="1"/>
    <xf numFmtId="0" fontId="1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9" fontId="5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9" fontId="4" fillId="2" borderId="1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6" fillId="3" borderId="1" xfId="0" applyFont="1" applyFill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8" fillId="4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6" fillId="6" borderId="2" xfId="0" applyFont="1" applyFill="1" applyBorder="1" applyAlignment="1">
      <alignment vertical="top" wrapText="1"/>
    </xf>
    <xf numFmtId="0" fontId="7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8" fillId="4" borderId="2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vertical="top" wrapText="1"/>
    </xf>
    <xf numFmtId="0" fontId="10" fillId="7" borderId="1" xfId="0" applyFont="1" applyFill="1" applyBorder="1" applyAlignment="1">
      <alignment horizontal="center" vertical="top" wrapText="1"/>
    </xf>
    <xf numFmtId="0" fontId="6" fillId="3" borderId="2" xfId="0" applyFont="1" applyFill="1" applyBorder="1" applyAlignment="1">
      <alignment vertical="top" wrapText="1"/>
    </xf>
    <xf numFmtId="0" fontId="10" fillId="7" borderId="2" xfId="0" applyFont="1" applyFill="1" applyBorder="1" applyAlignment="1">
      <alignment horizontal="center" vertical="top" wrapText="1"/>
    </xf>
    <xf numFmtId="0" fontId="9" fillId="5" borderId="2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textRotation="90"/>
    </xf>
    <xf numFmtId="0" fontId="4" fillId="8" borderId="1" xfId="0" applyFont="1" applyFill="1" applyBorder="1" applyAlignment="1">
      <alignment horizontal="center" textRotation="90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 shrinkToFit="1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vertical="center" shrinkToFit="1"/>
    </xf>
    <xf numFmtId="0" fontId="0" fillId="0" borderId="2" xfId="0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 shrinkToFit="1"/>
    </xf>
    <xf numFmtId="0" fontId="7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 shrinkToFit="1"/>
    </xf>
    <xf numFmtId="0" fontId="11" fillId="7" borderId="2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top" wrapText="1"/>
    </xf>
    <xf numFmtId="0" fontId="6" fillId="3" borderId="3" xfId="0" applyFont="1" applyFill="1" applyBorder="1" applyAlignment="1">
      <alignment vertical="top" wrapText="1"/>
    </xf>
    <xf numFmtId="0" fontId="7" fillId="0" borderId="3" xfId="0" applyFont="1" applyBorder="1" applyAlignment="1">
      <alignment horizontal="center" vertical="top" wrapText="1"/>
    </xf>
    <xf numFmtId="0" fontId="5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6" fillId="6" borderId="3" xfId="0" applyFont="1" applyFill="1" applyBorder="1" applyAlignment="1">
      <alignment vertical="top" wrapText="1"/>
    </xf>
    <xf numFmtId="0" fontId="7" fillId="7" borderId="2" xfId="0" applyFont="1" applyFill="1" applyBorder="1" applyAlignment="1">
      <alignment horizontal="center" vertical="top" wrapText="1"/>
    </xf>
    <xf numFmtId="0" fontId="7" fillId="7" borderId="3" xfId="0" applyFont="1" applyFill="1" applyBorder="1" applyAlignment="1">
      <alignment horizontal="center" vertical="top" wrapText="1"/>
    </xf>
    <xf numFmtId="0" fontId="10" fillId="7" borderId="3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9" fillId="0" borderId="6" xfId="0" applyFont="1" applyBorder="1"/>
    <xf numFmtId="0" fontId="0" fillId="0" borderId="6" xfId="0" applyBorder="1"/>
    <xf numFmtId="0" fontId="6" fillId="6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5" fillId="0" borderId="0" xfId="0" applyFont="1" applyAlignment="1">
      <alignment vertical="top" wrapText="1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8" xfId="0" applyBorder="1"/>
    <xf numFmtId="0" fontId="5" fillId="0" borderId="6" xfId="0" applyFont="1" applyBorder="1"/>
    <xf numFmtId="1" fontId="15" fillId="6" borderId="0" xfId="0" applyNumberFormat="1" applyFont="1" applyFill="1" applyAlignment="1">
      <alignment horizontal="left" vertical="center" indent="1"/>
    </xf>
    <xf numFmtId="0" fontId="0" fillId="6" borderId="0" xfId="0" applyFill="1"/>
    <xf numFmtId="9" fontId="15" fillId="6" borderId="0" xfId="0" applyNumberFormat="1" applyFont="1" applyFill="1" applyAlignment="1">
      <alignment horizontal="left" vertical="center" indent="1"/>
    </xf>
    <xf numFmtId="0" fontId="14" fillId="6" borderId="4" xfId="0" applyFont="1" applyFill="1" applyBorder="1" applyAlignment="1">
      <alignment horizontal="left" indent="1"/>
    </xf>
    <xf numFmtId="0" fontId="0" fillId="6" borderId="4" xfId="0" applyFill="1" applyBorder="1"/>
    <xf numFmtId="0" fontId="6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b/>
        <color rgb="FF8A5A00"/>
        <name val="Calibri"/>
      </font>
      <fill>
        <patternFill patternType="solid">
          <bgColor rgb="FFFFF3D6"/>
        </patternFill>
      </fill>
    </dxf>
    <dxf>
      <font>
        <b/>
        <color rgb="FFB02A2A"/>
        <name val="Calibri"/>
      </font>
      <fill>
        <patternFill patternType="solid">
          <bgColor rgb="FFFBE7E7"/>
        </patternFill>
      </fill>
    </dxf>
    <dxf>
      <font>
        <b/>
        <color rgb="FF1B6E1B"/>
        <name val="Calibri"/>
      </font>
      <fill>
        <patternFill patternType="solid">
          <bgColor rgb="FFE6F4E6"/>
        </patternFill>
      </fill>
    </dxf>
    <dxf>
      <font>
        <b/>
        <color rgb="FFB02A2A"/>
        <name val="Calibri"/>
      </font>
      <fill>
        <patternFill patternType="solid">
          <bgColor rgb="FFFBE7E7"/>
        </patternFill>
      </fill>
    </dxf>
    <dxf>
      <font>
        <b/>
        <color rgb="FF8A5A00"/>
        <name val="Calibri"/>
      </font>
      <fill>
        <patternFill patternType="solid">
          <bgColor rgb="FFFFF3D6"/>
        </patternFill>
      </fill>
    </dxf>
    <dxf>
      <font>
        <b/>
        <color rgb="FF1B6E1B"/>
        <name val="Calibri"/>
      </font>
      <fill>
        <patternFill patternType="solid">
          <bgColor rgb="FFE6F4E6"/>
        </patternFill>
      </fill>
    </dxf>
    <dxf>
      <font>
        <b/>
        <color rgb="FFB02A2A"/>
        <name val="Calibri"/>
      </font>
      <fill>
        <patternFill patternType="solid">
          <bgColor rgb="FFFBE7E7"/>
        </patternFill>
      </fill>
    </dxf>
    <dxf>
      <font>
        <b/>
        <color rgb="FFB02A2A"/>
        <name val="Calibri"/>
      </font>
      <fill>
        <patternFill patternType="solid">
          <bgColor rgb="FFFBE7E7"/>
        </patternFill>
      </fill>
    </dxf>
    <dxf>
      <font>
        <b/>
        <color rgb="FF8A5A00"/>
        <name val="Calibri"/>
      </font>
      <fill>
        <patternFill patternType="solid">
          <bgColor rgb="FFFFF3D6"/>
        </patternFill>
      </fill>
    </dxf>
    <dxf>
      <font>
        <b/>
        <color rgb="FF1B6E1B"/>
        <name val="Calibri"/>
      </font>
      <fill>
        <patternFill patternType="solid">
          <bgColor rgb="FFE6F4E6"/>
        </patternFill>
      </fill>
    </dxf>
    <dxf>
      <font>
        <b/>
        <color rgb="FFB02A2A"/>
        <name val="Calibri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Resumen!$D$9</c:f>
              <c:strCache>
                <c:ptCount val="1"/>
                <c:pt idx="0">
                  <c:v>Implementado</c:v>
                </c:pt>
              </c:strCache>
            </c:strRef>
          </c:tx>
          <c:spPr>
            <a:solidFill>
              <a:srgbClr val="0CA30C"/>
            </a:solidFill>
            <a:ln w="19050"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Resumen!$A$10:$A$21</c:f>
              <c:strCache>
                <c:ptCount val="12"/>
                <c:pt idx="0">
                  <c:v>1 · Ingesta y calidad de datos</c:v>
                </c:pt>
                <c:pt idx="1">
                  <c:v>2 · Preparación de datos</c:v>
                </c:pt>
                <c:pt idx="2">
                  <c:v>3 · Indicador de nivel de servicio</c:v>
                </c:pt>
                <c:pt idx="3">
                  <c:v>4 · Modelado y validación</c:v>
                </c:pt>
                <c:pt idx="4">
                  <c:v>5 · Gobierno del modelo</c:v>
                </c:pt>
                <c:pt idx="5">
                  <c:v>6 · Proyección de demanda</c:v>
                </c:pt>
                <c:pt idx="6">
                  <c:v>7 · Simulación de cobertura</c:v>
                </c:pt>
                <c:pt idx="7">
                  <c:v>8 · Plan de compra</c:v>
                </c:pt>
                <c:pt idx="8">
                  <c:v>9 · Monitoreo del modelo</c:v>
                </c:pt>
                <c:pt idx="9">
                  <c:v>10 · Operación del ciclo mensual</c:v>
                </c:pt>
                <c:pt idx="10">
                  <c:v>11 · Seguridad y acceso</c:v>
                </c:pt>
                <c:pt idx="11">
                  <c:v>12 · Transversal · no funcionales</c:v>
                </c:pt>
              </c:strCache>
            </c:strRef>
          </c:cat>
          <c:val>
            <c:numRef>
              <c:f>Resumen!$D$10:$D$21</c:f>
              <c:numCache>
                <c:formatCode>General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9050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D8A-4BDD-8486-6277F81D5584}"/>
            </c:ext>
          </c:extLst>
        </c:ser>
        <c:ser>
          <c:idx val="1"/>
          <c:order val="1"/>
          <c:tx>
            <c:strRef>
              <c:f>Resumen!$E$9</c:f>
              <c:strCache>
                <c:ptCount val="1"/>
                <c:pt idx="0">
                  <c:v>Parcial</c:v>
                </c:pt>
              </c:strCache>
            </c:strRef>
          </c:tx>
          <c:spPr>
            <a:solidFill>
              <a:srgbClr val="FAB219"/>
            </a:solidFill>
            <a:ln w="19050"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Resumen!$A$10:$A$21</c:f>
              <c:strCache>
                <c:ptCount val="12"/>
                <c:pt idx="0">
                  <c:v>1 · Ingesta y calidad de datos</c:v>
                </c:pt>
                <c:pt idx="1">
                  <c:v>2 · Preparación de datos</c:v>
                </c:pt>
                <c:pt idx="2">
                  <c:v>3 · Indicador de nivel de servicio</c:v>
                </c:pt>
                <c:pt idx="3">
                  <c:v>4 · Modelado y validación</c:v>
                </c:pt>
                <c:pt idx="4">
                  <c:v>5 · Gobierno del modelo</c:v>
                </c:pt>
                <c:pt idx="5">
                  <c:v>6 · Proyección de demanda</c:v>
                </c:pt>
                <c:pt idx="6">
                  <c:v>7 · Simulación de cobertura</c:v>
                </c:pt>
                <c:pt idx="7">
                  <c:v>8 · Plan de compra</c:v>
                </c:pt>
                <c:pt idx="8">
                  <c:v>9 · Monitoreo del modelo</c:v>
                </c:pt>
                <c:pt idx="9">
                  <c:v>10 · Operación del ciclo mensual</c:v>
                </c:pt>
                <c:pt idx="10">
                  <c:v>11 · Seguridad y acceso</c:v>
                </c:pt>
                <c:pt idx="11">
                  <c:v>12 · Transversal · no funcionales</c:v>
                </c:pt>
              </c:strCache>
            </c:strRef>
          </c:cat>
          <c:val>
            <c:numRef>
              <c:f>Resumen!$E$10:$E$21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9050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D8A-4BDD-8486-6277F81D5584}"/>
            </c:ext>
          </c:extLst>
        </c:ser>
        <c:ser>
          <c:idx val="2"/>
          <c:order val="2"/>
          <c:tx>
            <c:strRef>
              <c:f>Resumen!$F$9</c:f>
              <c:strCache>
                <c:ptCount val="1"/>
                <c:pt idx="0">
                  <c:v>Pendiente</c:v>
                </c:pt>
              </c:strCache>
            </c:strRef>
          </c:tx>
          <c:spPr>
            <a:solidFill>
              <a:srgbClr val="D03B3B"/>
            </a:solidFill>
            <a:ln w="19050"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Resumen!$A$10:$A$21</c:f>
              <c:strCache>
                <c:ptCount val="12"/>
                <c:pt idx="0">
                  <c:v>1 · Ingesta y calidad de datos</c:v>
                </c:pt>
                <c:pt idx="1">
                  <c:v>2 · Preparación de datos</c:v>
                </c:pt>
                <c:pt idx="2">
                  <c:v>3 · Indicador de nivel de servicio</c:v>
                </c:pt>
                <c:pt idx="3">
                  <c:v>4 · Modelado y validación</c:v>
                </c:pt>
                <c:pt idx="4">
                  <c:v>5 · Gobierno del modelo</c:v>
                </c:pt>
                <c:pt idx="5">
                  <c:v>6 · Proyección de demanda</c:v>
                </c:pt>
                <c:pt idx="6">
                  <c:v>7 · Simulación de cobertura</c:v>
                </c:pt>
                <c:pt idx="7">
                  <c:v>8 · Plan de compra</c:v>
                </c:pt>
                <c:pt idx="8">
                  <c:v>9 · Monitoreo del modelo</c:v>
                </c:pt>
                <c:pt idx="9">
                  <c:v>10 · Operación del ciclo mensual</c:v>
                </c:pt>
                <c:pt idx="10">
                  <c:v>11 · Seguridad y acceso</c:v>
                </c:pt>
                <c:pt idx="11">
                  <c:v>12 · Transversal · no funcionales</c:v>
                </c:pt>
              </c:strCache>
            </c:strRef>
          </c:cat>
          <c:val>
            <c:numRef>
              <c:f>Resumen!$F$10:$F$21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9050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D8A-4BDD-8486-6277F81D5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8</xdr:row>
      <xdr:rowOff>0</xdr:rowOff>
    </xdr:from>
    <xdr:ext cx="612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50"/>
  <sheetViews>
    <sheetView showGridLines="0" tabSelected="1" workbookViewId="0"/>
  </sheetViews>
  <sheetFormatPr baseColWidth="10" defaultColWidth="8.88671875" defaultRowHeight="14.4" x14ac:dyDescent="0.3"/>
  <cols>
    <col min="1" max="1" width="3" customWidth="1"/>
    <col min="2" max="2" width="26" customWidth="1"/>
    <col min="3" max="4" width="30" customWidth="1"/>
    <col min="5" max="6" width="22" customWidth="1"/>
    <col min="7" max="7" width="3" customWidth="1"/>
  </cols>
  <sheetData>
    <row r="2" spans="2:6" ht="34.049999999999997" customHeight="1" x14ac:dyDescent="0.6">
      <c r="B2" s="1" t="s">
        <v>0</v>
      </c>
    </row>
    <row r="3" spans="2:6" ht="15.6" x14ac:dyDescent="0.3">
      <c r="B3" s="2" t="s">
        <v>1</v>
      </c>
    </row>
    <row r="4" spans="2:6" x14ac:dyDescent="0.3">
      <c r="B4" s="3"/>
      <c r="C4" s="3"/>
      <c r="D4" s="3"/>
      <c r="E4" s="3"/>
      <c r="F4" s="3"/>
    </row>
    <row r="6" spans="2:6" x14ac:dyDescent="0.3">
      <c r="B6" s="4" t="s">
        <v>2</v>
      </c>
      <c r="C6" s="72" t="s">
        <v>3</v>
      </c>
      <c r="D6" s="73"/>
      <c r="E6" s="73"/>
      <c r="F6" s="73"/>
    </row>
    <row r="7" spans="2:6" x14ac:dyDescent="0.3">
      <c r="B7" s="4" t="s">
        <v>4</v>
      </c>
      <c r="C7" s="72" t="s">
        <v>5</v>
      </c>
      <c r="D7" s="73"/>
      <c r="E7" s="73"/>
      <c r="F7" s="73"/>
    </row>
    <row r="8" spans="2:6" x14ac:dyDescent="0.3">
      <c r="B8" s="4" t="s">
        <v>6</v>
      </c>
      <c r="C8" s="72" t="s">
        <v>7</v>
      </c>
      <c r="D8" s="73"/>
      <c r="E8" s="73"/>
      <c r="F8" s="73"/>
    </row>
    <row r="9" spans="2:6" x14ac:dyDescent="0.3">
      <c r="B9" s="4" t="s">
        <v>8</v>
      </c>
      <c r="C9" s="72" t="s">
        <v>9</v>
      </c>
      <c r="D9" s="73"/>
      <c r="E9" s="73"/>
      <c r="F9" s="73"/>
    </row>
    <row r="10" spans="2:6" x14ac:dyDescent="0.3">
      <c r="B10" s="4" t="s">
        <v>10</v>
      </c>
      <c r="C10" s="72" t="s">
        <v>11</v>
      </c>
      <c r="D10" s="73"/>
      <c r="E10" s="73"/>
      <c r="F10" s="73"/>
    </row>
    <row r="11" spans="2:6" x14ac:dyDescent="0.3">
      <c r="B11" s="4" t="s">
        <v>12</v>
      </c>
      <c r="C11" s="72" t="s">
        <v>13</v>
      </c>
      <c r="D11" s="73"/>
      <c r="E11" s="73"/>
      <c r="F11" s="73"/>
    </row>
    <row r="12" spans="2:6" x14ac:dyDescent="0.3">
      <c r="B12" s="4" t="s">
        <v>14</v>
      </c>
      <c r="C12" s="72" t="s">
        <v>15</v>
      </c>
      <c r="D12" s="73"/>
      <c r="E12" s="73"/>
      <c r="F12" s="73"/>
    </row>
    <row r="14" spans="2:6" x14ac:dyDescent="0.3">
      <c r="B14" s="5" t="s">
        <v>16</v>
      </c>
    </row>
    <row r="15" spans="2:6" ht="42" customHeight="1" x14ac:dyDescent="0.3">
      <c r="B15" s="77" t="s">
        <v>17</v>
      </c>
      <c r="C15" s="78"/>
      <c r="D15" s="78"/>
      <c r="E15" s="78"/>
      <c r="F15" s="78"/>
    </row>
    <row r="17" spans="2:6" x14ac:dyDescent="0.3">
      <c r="B17" s="5" t="s">
        <v>18</v>
      </c>
    </row>
    <row r="18" spans="2:6" ht="55.95" customHeight="1" x14ac:dyDescent="0.3">
      <c r="B18" s="77" t="s">
        <v>19</v>
      </c>
      <c r="C18" s="78"/>
      <c r="D18" s="78"/>
      <c r="E18" s="78"/>
      <c r="F18" s="78"/>
    </row>
    <row r="20" spans="2:6" x14ac:dyDescent="0.3">
      <c r="B20" s="5" t="s">
        <v>20</v>
      </c>
    </row>
    <row r="21" spans="2:6" x14ac:dyDescent="0.3">
      <c r="B21" s="79" t="s">
        <v>21</v>
      </c>
      <c r="C21" s="80"/>
      <c r="D21" s="6" t="s">
        <v>22</v>
      </c>
      <c r="E21" s="6" t="s">
        <v>23</v>
      </c>
      <c r="F21" s="6" t="s">
        <v>24</v>
      </c>
    </row>
    <row r="22" spans="2:6" x14ac:dyDescent="0.3">
      <c r="B22" s="76" t="s">
        <v>25</v>
      </c>
      <c r="C22" s="75"/>
      <c r="D22" s="7">
        <f>COUNTIF(Requerimientos!$B$6:$B$43,B22)</f>
        <v>5</v>
      </c>
      <c r="E22" s="7">
        <f>COUNTIF('Pruebas por requerimiento'!$B$6:$B$59,B22)</f>
        <v>9</v>
      </c>
      <c r="F22" s="7" t="s">
        <v>26</v>
      </c>
    </row>
    <row r="23" spans="2:6" x14ac:dyDescent="0.3">
      <c r="B23" s="74" t="s">
        <v>27</v>
      </c>
      <c r="C23" s="75"/>
      <c r="D23" s="7">
        <f>COUNTIF(Requerimientos!$B$6:$B$43,B23)</f>
        <v>4</v>
      </c>
      <c r="E23" s="7">
        <f>COUNTIF('Pruebas por requerimiento'!$B$6:$B$59,B23)</f>
        <v>9</v>
      </c>
      <c r="F23" s="7" t="s">
        <v>28</v>
      </c>
    </row>
    <row r="24" spans="2:6" x14ac:dyDescent="0.3">
      <c r="B24" s="76" t="s">
        <v>29</v>
      </c>
      <c r="C24" s="75"/>
      <c r="D24" s="7">
        <f>COUNTIF(Requerimientos!$B$6:$B$43,B24)</f>
        <v>1</v>
      </c>
      <c r="E24" s="7">
        <f>COUNTIF('Pruebas por requerimiento'!$B$6:$B$59,B24)</f>
        <v>1</v>
      </c>
      <c r="F24" s="7" t="s">
        <v>30</v>
      </c>
    </row>
    <row r="25" spans="2:6" x14ac:dyDescent="0.3">
      <c r="B25" s="74" t="s">
        <v>31</v>
      </c>
      <c r="C25" s="75"/>
      <c r="D25" s="7">
        <f>COUNTIF(Requerimientos!$B$6:$B$43,B25)</f>
        <v>2</v>
      </c>
      <c r="E25" s="7">
        <f>COUNTIF('Pruebas por requerimiento'!$B$6:$B$59,B25)</f>
        <v>2</v>
      </c>
      <c r="F25" s="7" t="s">
        <v>30</v>
      </c>
    </row>
    <row r="26" spans="2:6" x14ac:dyDescent="0.3">
      <c r="B26" s="76" t="s">
        <v>32</v>
      </c>
      <c r="C26" s="75"/>
      <c r="D26" s="7">
        <f>COUNTIF(Requerimientos!$B$6:$B$43,B26)</f>
        <v>3</v>
      </c>
      <c r="E26" s="7">
        <f>COUNTIF('Pruebas por requerimiento'!$B$6:$B$59,B26)</f>
        <v>3</v>
      </c>
      <c r="F26" s="7" t="s">
        <v>33</v>
      </c>
    </row>
    <row r="27" spans="2:6" x14ac:dyDescent="0.3">
      <c r="B27" s="74" t="s">
        <v>34</v>
      </c>
      <c r="C27" s="75"/>
      <c r="D27" s="7">
        <f>COUNTIF(Requerimientos!$B$6:$B$43,B27)</f>
        <v>5</v>
      </c>
      <c r="E27" s="7">
        <f>COUNTIF('Pruebas por requerimiento'!$B$6:$B$59,B27)</f>
        <v>8</v>
      </c>
      <c r="F27" s="7" t="s">
        <v>35</v>
      </c>
    </row>
    <row r="28" spans="2:6" x14ac:dyDescent="0.3">
      <c r="B28" s="76" t="s">
        <v>36</v>
      </c>
      <c r="C28" s="75"/>
      <c r="D28" s="7">
        <f>COUNTIF(Requerimientos!$B$6:$B$43,B28)</f>
        <v>2</v>
      </c>
      <c r="E28" s="7">
        <f>COUNTIF('Pruebas por requerimiento'!$B$6:$B$59,B28)</f>
        <v>2</v>
      </c>
      <c r="F28" s="7" t="s">
        <v>37</v>
      </c>
    </row>
    <row r="29" spans="2:6" x14ac:dyDescent="0.3">
      <c r="B29" s="74" t="s">
        <v>38</v>
      </c>
      <c r="C29" s="75"/>
      <c r="D29" s="7">
        <f>COUNTIF(Requerimientos!$B$6:$B$43,B29)</f>
        <v>2</v>
      </c>
      <c r="E29" s="7">
        <f>COUNTIF('Pruebas por requerimiento'!$B$6:$B$59,B29)</f>
        <v>4</v>
      </c>
      <c r="F29" s="7" t="s">
        <v>39</v>
      </c>
    </row>
    <row r="30" spans="2:6" x14ac:dyDescent="0.3">
      <c r="B30" s="76" t="s">
        <v>40</v>
      </c>
      <c r="C30" s="75"/>
      <c r="D30" s="7">
        <f>COUNTIF(Requerimientos!$B$6:$B$43,B30)</f>
        <v>2</v>
      </c>
      <c r="E30" s="7">
        <f>COUNTIF('Pruebas por requerimiento'!$B$6:$B$59,B30)</f>
        <v>4</v>
      </c>
      <c r="F30" s="7" t="s">
        <v>41</v>
      </c>
    </row>
    <row r="31" spans="2:6" x14ac:dyDescent="0.3">
      <c r="B31" s="74" t="s">
        <v>42</v>
      </c>
      <c r="C31" s="75"/>
      <c r="D31" s="7">
        <f>COUNTIF(Requerimientos!$B$6:$B$43,B31)</f>
        <v>2</v>
      </c>
      <c r="E31" s="7">
        <f>COUNTIF('Pruebas por requerimiento'!$B$6:$B$59,B31)</f>
        <v>2</v>
      </c>
      <c r="F31" s="7" t="s">
        <v>43</v>
      </c>
    </row>
    <row r="32" spans="2:6" x14ac:dyDescent="0.3">
      <c r="B32" s="76" t="s">
        <v>44</v>
      </c>
      <c r="C32" s="75"/>
      <c r="D32" s="7">
        <f>COUNTIF(Requerimientos!$B$6:$B$43,B32)</f>
        <v>2</v>
      </c>
      <c r="E32" s="7">
        <f>COUNTIF('Pruebas por requerimiento'!$B$6:$B$59,B32)</f>
        <v>2</v>
      </c>
      <c r="F32" s="7" t="s">
        <v>26</v>
      </c>
    </row>
    <row r="33" spans="2:6" x14ac:dyDescent="0.3">
      <c r="B33" s="74" t="s">
        <v>45</v>
      </c>
      <c r="C33" s="75"/>
      <c r="D33" s="7">
        <f>COUNTIF(Requerimientos!$B$6:$B$43,B33)</f>
        <v>8</v>
      </c>
      <c r="E33" s="7">
        <f>COUNTIF('Pruebas por requerimiento'!$B$6:$B$59,B33)</f>
        <v>8</v>
      </c>
      <c r="F33" s="7" t="s">
        <v>46</v>
      </c>
    </row>
    <row r="35" spans="2:6" x14ac:dyDescent="0.3">
      <c r="B35" s="5" t="s">
        <v>47</v>
      </c>
    </row>
    <row r="36" spans="2:6" x14ac:dyDescent="0.3">
      <c r="B36" s="6" t="s">
        <v>48</v>
      </c>
      <c r="C36" s="6" t="s">
        <v>49</v>
      </c>
      <c r="D36" s="79" t="s">
        <v>50</v>
      </c>
      <c r="E36" s="81"/>
      <c r="F36" s="80"/>
    </row>
    <row r="37" spans="2:6" ht="28.05" customHeight="1" x14ac:dyDescent="0.3">
      <c r="B37" s="8" t="s">
        <v>51</v>
      </c>
      <c r="C37" s="9" t="s">
        <v>52</v>
      </c>
      <c r="D37" s="70" t="s">
        <v>53</v>
      </c>
      <c r="E37" s="71"/>
      <c r="F37" s="71"/>
    </row>
    <row r="38" spans="2:6" ht="28.05" customHeight="1" x14ac:dyDescent="0.3">
      <c r="B38" s="8" t="s">
        <v>54</v>
      </c>
      <c r="C38" s="10" t="s">
        <v>55</v>
      </c>
      <c r="D38" s="70" t="s">
        <v>56</v>
      </c>
      <c r="E38" s="71"/>
      <c r="F38" s="71"/>
    </row>
    <row r="39" spans="2:6" ht="28.05" customHeight="1" x14ac:dyDescent="0.3">
      <c r="B39" s="8" t="s">
        <v>57</v>
      </c>
      <c r="C39" s="10" t="s">
        <v>58</v>
      </c>
      <c r="D39" s="70" t="s">
        <v>59</v>
      </c>
      <c r="E39" s="71"/>
      <c r="F39" s="71"/>
    </row>
    <row r="40" spans="2:6" ht="28.05" customHeight="1" x14ac:dyDescent="0.3">
      <c r="B40" s="8" t="s">
        <v>60</v>
      </c>
      <c r="C40" s="10" t="s">
        <v>61</v>
      </c>
      <c r="D40" s="70" t="s">
        <v>62</v>
      </c>
      <c r="E40" s="71"/>
      <c r="F40" s="71"/>
    </row>
    <row r="41" spans="2:6" ht="28.05" customHeight="1" x14ac:dyDescent="0.3">
      <c r="B41" s="8" t="s">
        <v>63</v>
      </c>
      <c r="C41" s="10" t="s">
        <v>64</v>
      </c>
      <c r="D41" s="70" t="s">
        <v>65</v>
      </c>
      <c r="E41" s="71"/>
      <c r="F41" s="71"/>
    </row>
    <row r="42" spans="2:6" ht="28.05" customHeight="1" x14ac:dyDescent="0.3">
      <c r="B42" s="8" t="s">
        <v>66</v>
      </c>
      <c r="C42" s="10" t="s">
        <v>67</v>
      </c>
      <c r="D42" s="70" t="s">
        <v>68</v>
      </c>
      <c r="E42" s="71"/>
      <c r="F42" s="71"/>
    </row>
    <row r="44" spans="2:6" x14ac:dyDescent="0.3">
      <c r="B44" s="5" t="s">
        <v>69</v>
      </c>
    </row>
    <row r="45" spans="2:6" x14ac:dyDescent="0.3">
      <c r="B45" s="6" t="s">
        <v>70</v>
      </c>
      <c r="C45" s="79" t="s">
        <v>71</v>
      </c>
      <c r="D45" s="81"/>
      <c r="E45" s="80"/>
      <c r="F45" s="6" t="s">
        <v>72</v>
      </c>
    </row>
    <row r="46" spans="2:6" ht="28.05" customHeight="1" x14ac:dyDescent="0.3">
      <c r="B46" s="9" t="s">
        <v>73</v>
      </c>
      <c r="C46" s="70" t="s">
        <v>74</v>
      </c>
      <c r="D46" s="71"/>
      <c r="E46" s="71"/>
      <c r="F46" s="10" t="s">
        <v>75</v>
      </c>
    </row>
    <row r="47" spans="2:6" ht="28.05" customHeight="1" x14ac:dyDescent="0.3">
      <c r="B47" s="9" t="s">
        <v>76</v>
      </c>
      <c r="C47" s="70" t="s">
        <v>77</v>
      </c>
      <c r="D47" s="71"/>
      <c r="E47" s="71"/>
      <c r="F47" s="10" t="s">
        <v>75</v>
      </c>
    </row>
    <row r="48" spans="2:6" ht="28.05" customHeight="1" x14ac:dyDescent="0.3">
      <c r="B48" s="9" t="s">
        <v>78</v>
      </c>
      <c r="C48" s="70" t="s">
        <v>79</v>
      </c>
      <c r="D48" s="71"/>
      <c r="E48" s="71"/>
      <c r="F48" s="10" t="s">
        <v>75</v>
      </c>
    </row>
    <row r="49" spans="2:6" ht="28.05" customHeight="1" x14ac:dyDescent="0.3">
      <c r="B49" s="9" t="s">
        <v>80</v>
      </c>
      <c r="C49" s="70" t="s">
        <v>81</v>
      </c>
      <c r="D49" s="71"/>
      <c r="E49" s="71"/>
      <c r="F49" s="10" t="s">
        <v>82</v>
      </c>
    </row>
    <row r="50" spans="2:6" ht="28.05" customHeight="1" x14ac:dyDescent="0.3">
      <c r="B50" s="9" t="s">
        <v>83</v>
      </c>
      <c r="C50" s="70" t="s">
        <v>84</v>
      </c>
      <c r="D50" s="71"/>
      <c r="E50" s="71"/>
      <c r="F50" s="10" t="s">
        <v>85</v>
      </c>
    </row>
  </sheetData>
  <mergeCells count="35">
    <mergeCell ref="C11:F11"/>
    <mergeCell ref="B26:C26"/>
    <mergeCell ref="C47:E47"/>
    <mergeCell ref="C6:F6"/>
    <mergeCell ref="B23:C23"/>
    <mergeCell ref="C48:E48"/>
    <mergeCell ref="D39:F39"/>
    <mergeCell ref="D42:F42"/>
    <mergeCell ref="D38:F38"/>
    <mergeCell ref="B29:C29"/>
    <mergeCell ref="B28:C28"/>
    <mergeCell ref="C10:F10"/>
    <mergeCell ref="C9:F9"/>
    <mergeCell ref="B24:C24"/>
    <mergeCell ref="B30:C30"/>
    <mergeCell ref="B33:C33"/>
    <mergeCell ref="B15:F15"/>
    <mergeCell ref="C45:E45"/>
    <mergeCell ref="C12:F12"/>
    <mergeCell ref="C50:E50"/>
    <mergeCell ref="C8:F8"/>
    <mergeCell ref="B25:C25"/>
    <mergeCell ref="D41:F41"/>
    <mergeCell ref="C7:F7"/>
    <mergeCell ref="B22:C22"/>
    <mergeCell ref="B31:C31"/>
    <mergeCell ref="B27:C27"/>
    <mergeCell ref="B18:F18"/>
    <mergeCell ref="C46:E46"/>
    <mergeCell ref="B21:C21"/>
    <mergeCell ref="D37:F37"/>
    <mergeCell ref="C49:E49"/>
    <mergeCell ref="D40:F40"/>
    <mergeCell ref="D36:F36"/>
    <mergeCell ref="B32:C32"/>
  </mergeCells>
  <pageMargins left="0.4" right="0.4" top="0.5" bottom="0.5" header="0.5" footer="0.5"/>
  <pageSetup paperSize="9" fitToHeight="0" orientation="portrait"/>
  <headerFooter>
    <oddFooter>&amp;C&amp;8 Toma de Requerimientos · Proyecto APT Inchcape · 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4"/>
  <sheetViews>
    <sheetView showGridLines="0" workbookViewId="0"/>
  </sheetViews>
  <sheetFormatPr baseColWidth="10" defaultColWidth="8.88671875" defaultRowHeight="14.4" x14ac:dyDescent="0.3"/>
  <cols>
    <col min="1" max="1" width="26" customWidth="1"/>
    <col min="2" max="2" width="8" customWidth="1"/>
    <col min="3" max="4" width="13" customWidth="1"/>
    <col min="5" max="6" width="11" customWidth="1"/>
    <col min="7" max="7" width="13" customWidth="1"/>
    <col min="8" max="8" width="10" customWidth="1"/>
    <col min="9" max="12" width="12" customWidth="1"/>
  </cols>
  <sheetData>
    <row r="1" spans="1:12" ht="24" customHeight="1" x14ac:dyDescent="0.4">
      <c r="A1" s="11" t="s">
        <v>86</v>
      </c>
    </row>
    <row r="2" spans="1:12" x14ac:dyDescent="0.3">
      <c r="A2" s="12" t="s">
        <v>87</v>
      </c>
    </row>
    <row r="4" spans="1:12" ht="19.95" customHeight="1" x14ac:dyDescent="0.3">
      <c r="A4" s="86" t="s">
        <v>22</v>
      </c>
      <c r="B4" s="87"/>
      <c r="C4" s="86" t="s">
        <v>88</v>
      </c>
      <c r="D4" s="87"/>
      <c r="E4" s="86" t="s">
        <v>89</v>
      </c>
      <c r="F4" s="87"/>
      <c r="G4" s="86" t="s">
        <v>90</v>
      </c>
      <c r="H4" s="87"/>
      <c r="I4" s="86" t="s">
        <v>91</v>
      </c>
      <c r="J4" s="87"/>
      <c r="K4" s="86" t="s">
        <v>92</v>
      </c>
      <c r="L4" s="87"/>
    </row>
    <row r="5" spans="1:12" ht="36" customHeight="1" x14ac:dyDescent="0.3">
      <c r="A5" s="83">
        <f>COUNTA(Requerimientos!$C$6:$C$43)</f>
        <v>38</v>
      </c>
      <c r="B5" s="84"/>
      <c r="C5" s="83">
        <f>COUNTIF(Requerimientos!$F$6:$F$43,"Funcional")</f>
        <v>30</v>
      </c>
      <c r="D5" s="84"/>
      <c r="E5" s="83">
        <f>COUNTIF(Requerimientos!$F$6:$F$43,"No funcional")</f>
        <v>8</v>
      </c>
      <c r="F5" s="84"/>
      <c r="G5" s="83">
        <f>COUNTA('Pruebas por requerimiento'!$O$6:$O$59)</f>
        <v>54</v>
      </c>
      <c r="H5" s="84"/>
      <c r="I5" s="85">
        <f>(COUNTIF(Requerimientos!$P$6:$P$43,"Implementado")+0.5*COUNTIF(Requerimientos!$P$6:$P$43,"Parcial"))/COUNTA(Requerimientos!$C$6:$C$43)</f>
        <v>0.77631578947368418</v>
      </c>
      <c r="J5" s="84"/>
      <c r="K5" s="85">
        <f>(COUNTA('Pruebas por requerimiento'!$O$6:$O$59)-COUNTIF('Pruebas por requerimiento'!$O$6:$O$59,"No ejecutado"))/COUNTA('Pruebas por requerimiento'!$O$6:$O$59)</f>
        <v>0</v>
      </c>
      <c r="L5" s="84"/>
    </row>
    <row r="6" spans="1:12" x14ac:dyDescent="0.3">
      <c r="A6" s="13" t="s">
        <v>93</v>
      </c>
    </row>
    <row r="8" spans="1:12" x14ac:dyDescent="0.3">
      <c r="A8" s="5" t="s">
        <v>94</v>
      </c>
      <c r="J8" s="5" t="s">
        <v>95</v>
      </c>
    </row>
    <row r="9" spans="1:12" ht="25.2" x14ac:dyDescent="0.3">
      <c r="A9" s="79" t="s">
        <v>21</v>
      </c>
      <c r="B9" s="80"/>
      <c r="C9" s="6" t="s">
        <v>22</v>
      </c>
      <c r="D9" s="6" t="s">
        <v>96</v>
      </c>
      <c r="E9" s="6" t="s">
        <v>97</v>
      </c>
      <c r="F9" s="6" t="s">
        <v>98</v>
      </c>
      <c r="G9" s="6" t="s">
        <v>23</v>
      </c>
      <c r="H9" s="6" t="s">
        <v>99</v>
      </c>
    </row>
    <row r="10" spans="1:12" x14ac:dyDescent="0.3">
      <c r="A10" s="76" t="s">
        <v>25</v>
      </c>
      <c r="B10" s="75"/>
      <c r="C10" s="7">
        <f>COUNTIF(Requerimientos!$B$6:$B$43,A10)</f>
        <v>5</v>
      </c>
      <c r="D10" s="7">
        <f>COUNTIFS(Requerimientos!$B$6:$B$43,A10,Requerimientos!$P$6:$P$43,"Implementado")</f>
        <v>4</v>
      </c>
      <c r="E10" s="7">
        <f>COUNTIFS(Requerimientos!$B$6:$B$43,A10,Requerimientos!$P$6:$P$43,"Parcial")</f>
        <v>0</v>
      </c>
      <c r="F10" s="7">
        <f>COUNTIFS(Requerimientos!$B$6:$B$43,A10,Requerimientos!$P$6:$P$43,"Pendiente")</f>
        <v>1</v>
      </c>
      <c r="G10" s="7">
        <f>COUNTIF('Pruebas por requerimiento'!$B$6:$B$59,A10)</f>
        <v>9</v>
      </c>
      <c r="H10" s="14">
        <f t="shared" ref="H10:H22" si="0">IF(C10=0,0,(D10+0.5*E10)/C10)</f>
        <v>0.8</v>
      </c>
    </row>
    <row r="11" spans="1:12" x14ac:dyDescent="0.3">
      <c r="A11" s="74" t="s">
        <v>27</v>
      </c>
      <c r="B11" s="75"/>
      <c r="C11" s="7">
        <f>COUNTIF(Requerimientos!$B$6:$B$43,A11)</f>
        <v>4</v>
      </c>
      <c r="D11" s="7">
        <f>COUNTIFS(Requerimientos!$B$6:$B$43,A11,Requerimientos!$P$6:$P$43,"Implementado")</f>
        <v>3</v>
      </c>
      <c r="E11" s="7">
        <f>COUNTIFS(Requerimientos!$B$6:$B$43,A11,Requerimientos!$P$6:$P$43,"Parcial")</f>
        <v>1</v>
      </c>
      <c r="F11" s="7">
        <f>COUNTIFS(Requerimientos!$B$6:$B$43,A11,Requerimientos!$P$6:$P$43,"Pendiente")</f>
        <v>0</v>
      </c>
      <c r="G11" s="7">
        <f>COUNTIF('Pruebas por requerimiento'!$B$6:$B$59,A11)</f>
        <v>9</v>
      </c>
      <c r="H11" s="14">
        <f t="shared" si="0"/>
        <v>0.875</v>
      </c>
    </row>
    <row r="12" spans="1:12" x14ac:dyDescent="0.3">
      <c r="A12" s="76" t="s">
        <v>29</v>
      </c>
      <c r="B12" s="75"/>
      <c r="C12" s="7">
        <f>COUNTIF(Requerimientos!$B$6:$B$43,A12)</f>
        <v>1</v>
      </c>
      <c r="D12" s="7">
        <f>COUNTIFS(Requerimientos!$B$6:$B$43,A12,Requerimientos!$P$6:$P$43,"Implementado")</f>
        <v>1</v>
      </c>
      <c r="E12" s="7">
        <f>COUNTIFS(Requerimientos!$B$6:$B$43,A12,Requerimientos!$P$6:$P$43,"Parcial")</f>
        <v>0</v>
      </c>
      <c r="F12" s="7">
        <f>COUNTIFS(Requerimientos!$B$6:$B$43,A12,Requerimientos!$P$6:$P$43,"Pendiente")</f>
        <v>0</v>
      </c>
      <c r="G12" s="7">
        <f>COUNTIF('Pruebas por requerimiento'!$B$6:$B$59,A12)</f>
        <v>1</v>
      </c>
      <c r="H12" s="14">
        <f t="shared" si="0"/>
        <v>1</v>
      </c>
    </row>
    <row r="13" spans="1:12" x14ac:dyDescent="0.3">
      <c r="A13" s="74" t="s">
        <v>31</v>
      </c>
      <c r="B13" s="75"/>
      <c r="C13" s="7">
        <f>COUNTIF(Requerimientos!$B$6:$B$43,A13)</f>
        <v>2</v>
      </c>
      <c r="D13" s="7">
        <f>COUNTIFS(Requerimientos!$B$6:$B$43,A13,Requerimientos!$P$6:$P$43,"Implementado")</f>
        <v>2</v>
      </c>
      <c r="E13" s="7">
        <f>COUNTIFS(Requerimientos!$B$6:$B$43,A13,Requerimientos!$P$6:$P$43,"Parcial")</f>
        <v>0</v>
      </c>
      <c r="F13" s="7">
        <f>COUNTIFS(Requerimientos!$B$6:$B$43,A13,Requerimientos!$P$6:$P$43,"Pendiente")</f>
        <v>0</v>
      </c>
      <c r="G13" s="7">
        <f>COUNTIF('Pruebas por requerimiento'!$B$6:$B$59,A13)</f>
        <v>2</v>
      </c>
      <c r="H13" s="14">
        <f t="shared" si="0"/>
        <v>1</v>
      </c>
    </row>
    <row r="14" spans="1:12" x14ac:dyDescent="0.3">
      <c r="A14" s="76" t="s">
        <v>32</v>
      </c>
      <c r="B14" s="75"/>
      <c r="C14" s="7">
        <f>COUNTIF(Requerimientos!$B$6:$B$43,A14)</f>
        <v>3</v>
      </c>
      <c r="D14" s="7">
        <f>COUNTIFS(Requerimientos!$B$6:$B$43,A14,Requerimientos!$P$6:$P$43,"Implementado")</f>
        <v>2</v>
      </c>
      <c r="E14" s="7">
        <f>COUNTIFS(Requerimientos!$B$6:$B$43,A14,Requerimientos!$P$6:$P$43,"Parcial")</f>
        <v>0</v>
      </c>
      <c r="F14" s="7">
        <f>COUNTIFS(Requerimientos!$B$6:$B$43,A14,Requerimientos!$P$6:$P$43,"Pendiente")</f>
        <v>1</v>
      </c>
      <c r="G14" s="7">
        <f>COUNTIF('Pruebas por requerimiento'!$B$6:$B$59,A14)</f>
        <v>3</v>
      </c>
      <c r="H14" s="14">
        <f t="shared" si="0"/>
        <v>0.66666666666666663</v>
      </c>
    </row>
    <row r="15" spans="1:12" x14ac:dyDescent="0.3">
      <c r="A15" s="74" t="s">
        <v>34</v>
      </c>
      <c r="B15" s="75"/>
      <c r="C15" s="7">
        <f>COUNTIF(Requerimientos!$B$6:$B$43,A15)</f>
        <v>5</v>
      </c>
      <c r="D15" s="7">
        <f>COUNTIFS(Requerimientos!$B$6:$B$43,A15,Requerimientos!$P$6:$P$43,"Implementado")</f>
        <v>3</v>
      </c>
      <c r="E15" s="7">
        <f>COUNTIFS(Requerimientos!$B$6:$B$43,A15,Requerimientos!$P$6:$P$43,"Parcial")</f>
        <v>2</v>
      </c>
      <c r="F15" s="7">
        <f>COUNTIFS(Requerimientos!$B$6:$B$43,A15,Requerimientos!$P$6:$P$43,"Pendiente")</f>
        <v>0</v>
      </c>
      <c r="G15" s="7">
        <f>COUNTIF('Pruebas por requerimiento'!$B$6:$B$59,A15)</f>
        <v>8</v>
      </c>
      <c r="H15" s="14">
        <f t="shared" si="0"/>
        <v>0.8</v>
      </c>
    </row>
    <row r="16" spans="1:12" x14ac:dyDescent="0.3">
      <c r="A16" s="76" t="s">
        <v>36</v>
      </c>
      <c r="B16" s="75"/>
      <c r="C16" s="7">
        <f>COUNTIF(Requerimientos!$B$6:$B$43,A16)</f>
        <v>2</v>
      </c>
      <c r="D16" s="7">
        <f>COUNTIFS(Requerimientos!$B$6:$B$43,A16,Requerimientos!$P$6:$P$43,"Implementado")</f>
        <v>2</v>
      </c>
      <c r="E16" s="7">
        <f>COUNTIFS(Requerimientos!$B$6:$B$43,A16,Requerimientos!$P$6:$P$43,"Parcial")</f>
        <v>0</v>
      </c>
      <c r="F16" s="7">
        <f>COUNTIFS(Requerimientos!$B$6:$B$43,A16,Requerimientos!$P$6:$P$43,"Pendiente")</f>
        <v>0</v>
      </c>
      <c r="G16" s="7">
        <f>COUNTIF('Pruebas por requerimiento'!$B$6:$B$59,A16)</f>
        <v>2</v>
      </c>
      <c r="H16" s="14">
        <f t="shared" si="0"/>
        <v>1</v>
      </c>
    </row>
    <row r="17" spans="1:8" x14ac:dyDescent="0.3">
      <c r="A17" s="74" t="s">
        <v>38</v>
      </c>
      <c r="B17" s="75"/>
      <c r="C17" s="7">
        <f>COUNTIF(Requerimientos!$B$6:$B$43,A17)</f>
        <v>2</v>
      </c>
      <c r="D17" s="7">
        <f>COUNTIFS(Requerimientos!$B$6:$B$43,A17,Requerimientos!$P$6:$P$43,"Implementado")</f>
        <v>1</v>
      </c>
      <c r="E17" s="7">
        <f>COUNTIFS(Requerimientos!$B$6:$B$43,A17,Requerimientos!$P$6:$P$43,"Parcial")</f>
        <v>1</v>
      </c>
      <c r="F17" s="7">
        <f>COUNTIFS(Requerimientos!$B$6:$B$43,A17,Requerimientos!$P$6:$P$43,"Pendiente")</f>
        <v>0</v>
      </c>
      <c r="G17" s="7">
        <f>COUNTIF('Pruebas por requerimiento'!$B$6:$B$59,A17)</f>
        <v>4</v>
      </c>
      <c r="H17" s="14">
        <f t="shared" si="0"/>
        <v>0.75</v>
      </c>
    </row>
    <row r="18" spans="1:8" x14ac:dyDescent="0.3">
      <c r="A18" s="76" t="s">
        <v>40</v>
      </c>
      <c r="B18" s="75"/>
      <c r="C18" s="7">
        <f>COUNTIF(Requerimientos!$B$6:$B$43,A18)</f>
        <v>2</v>
      </c>
      <c r="D18" s="7">
        <f>COUNTIFS(Requerimientos!$B$6:$B$43,A18,Requerimientos!$P$6:$P$43,"Implementado")</f>
        <v>1</v>
      </c>
      <c r="E18" s="7">
        <f>COUNTIFS(Requerimientos!$B$6:$B$43,A18,Requerimientos!$P$6:$P$43,"Parcial")</f>
        <v>1</v>
      </c>
      <c r="F18" s="7">
        <f>COUNTIFS(Requerimientos!$B$6:$B$43,A18,Requerimientos!$P$6:$P$43,"Pendiente")</f>
        <v>0</v>
      </c>
      <c r="G18" s="7">
        <f>COUNTIF('Pruebas por requerimiento'!$B$6:$B$59,A18)</f>
        <v>4</v>
      </c>
      <c r="H18" s="14">
        <f t="shared" si="0"/>
        <v>0.75</v>
      </c>
    </row>
    <row r="19" spans="1:8" x14ac:dyDescent="0.3">
      <c r="A19" s="74" t="s">
        <v>42</v>
      </c>
      <c r="B19" s="75"/>
      <c r="C19" s="7">
        <f>COUNTIF(Requerimientos!$B$6:$B$43,A19)</f>
        <v>2</v>
      </c>
      <c r="D19" s="7">
        <f>COUNTIFS(Requerimientos!$B$6:$B$43,A19,Requerimientos!$P$6:$P$43,"Implementado")</f>
        <v>1</v>
      </c>
      <c r="E19" s="7">
        <f>COUNTIFS(Requerimientos!$B$6:$B$43,A19,Requerimientos!$P$6:$P$43,"Parcial")</f>
        <v>1</v>
      </c>
      <c r="F19" s="7">
        <f>COUNTIFS(Requerimientos!$B$6:$B$43,A19,Requerimientos!$P$6:$P$43,"Pendiente")</f>
        <v>0</v>
      </c>
      <c r="G19" s="7">
        <f>COUNTIF('Pruebas por requerimiento'!$B$6:$B$59,A19)</f>
        <v>2</v>
      </c>
      <c r="H19" s="14">
        <f t="shared" si="0"/>
        <v>0.75</v>
      </c>
    </row>
    <row r="20" spans="1:8" x14ac:dyDescent="0.3">
      <c r="A20" s="76" t="s">
        <v>44</v>
      </c>
      <c r="B20" s="75"/>
      <c r="C20" s="7">
        <f>COUNTIF(Requerimientos!$B$6:$B$43,A20)</f>
        <v>2</v>
      </c>
      <c r="D20" s="7">
        <f>COUNTIFS(Requerimientos!$B$6:$B$43,A20,Requerimientos!$P$6:$P$43,"Implementado")</f>
        <v>0</v>
      </c>
      <c r="E20" s="7">
        <f>COUNTIFS(Requerimientos!$B$6:$B$43,A20,Requerimientos!$P$6:$P$43,"Parcial")</f>
        <v>0</v>
      </c>
      <c r="F20" s="7">
        <f>COUNTIFS(Requerimientos!$B$6:$B$43,A20,Requerimientos!$P$6:$P$43,"Pendiente")</f>
        <v>2</v>
      </c>
      <c r="G20" s="7">
        <f>COUNTIF('Pruebas por requerimiento'!$B$6:$B$59,A20)</f>
        <v>2</v>
      </c>
      <c r="H20" s="14">
        <f t="shared" si="0"/>
        <v>0</v>
      </c>
    </row>
    <row r="21" spans="1:8" x14ac:dyDescent="0.3">
      <c r="A21" s="74" t="s">
        <v>45</v>
      </c>
      <c r="B21" s="75"/>
      <c r="C21" s="7">
        <f>COUNTIF(Requerimientos!$B$6:$B$43,A21)</f>
        <v>8</v>
      </c>
      <c r="D21" s="7">
        <f>COUNTIFS(Requerimientos!$B$6:$B$43,A21,Requerimientos!$P$6:$P$43,"Implementado")</f>
        <v>5</v>
      </c>
      <c r="E21" s="7">
        <f>COUNTIFS(Requerimientos!$B$6:$B$43,A21,Requerimientos!$P$6:$P$43,"Parcial")</f>
        <v>3</v>
      </c>
      <c r="F21" s="7">
        <f>COUNTIFS(Requerimientos!$B$6:$B$43,A21,Requerimientos!$P$6:$P$43,"Pendiente")</f>
        <v>0</v>
      </c>
      <c r="G21" s="7">
        <f>COUNTIF('Pruebas por requerimiento'!$B$6:$B$59,A21)</f>
        <v>8</v>
      </c>
      <c r="H21" s="14">
        <f t="shared" si="0"/>
        <v>0.8125</v>
      </c>
    </row>
    <row r="22" spans="1:8" x14ac:dyDescent="0.3">
      <c r="A22" s="89" t="s">
        <v>100</v>
      </c>
      <c r="B22" s="90"/>
      <c r="C22" s="15">
        <f>SUM(C10:C21)</f>
        <v>38</v>
      </c>
      <c r="D22" s="15">
        <f>SUM(D10:D21)</f>
        <v>25</v>
      </c>
      <c r="E22" s="15">
        <f>SUM(E10:E21)</f>
        <v>9</v>
      </c>
      <c r="F22" s="15">
        <f>SUM(F10:F21)</f>
        <v>4</v>
      </c>
      <c r="G22" s="15">
        <f>SUM(G10:G21)</f>
        <v>54</v>
      </c>
      <c r="H22" s="16">
        <f t="shared" si="0"/>
        <v>0.77631578947368418</v>
      </c>
    </row>
    <row r="24" spans="1:8" x14ac:dyDescent="0.3">
      <c r="A24" s="5" t="s">
        <v>101</v>
      </c>
    </row>
    <row r="25" spans="1:8" x14ac:dyDescent="0.3">
      <c r="A25" s="79" t="s">
        <v>102</v>
      </c>
      <c r="B25" s="80"/>
      <c r="C25" s="6" t="s">
        <v>22</v>
      </c>
      <c r="D25" s="6" t="s">
        <v>96</v>
      </c>
      <c r="E25" s="6" t="s">
        <v>97</v>
      </c>
      <c r="F25" s="6" t="s">
        <v>98</v>
      </c>
    </row>
    <row r="26" spans="1:8" x14ac:dyDescent="0.3">
      <c r="A26" s="88" t="s">
        <v>103</v>
      </c>
      <c r="B26" s="75"/>
      <c r="C26" s="7">
        <f>COUNTIF(Requerimientos!$H$6:$H$43,A26)</f>
        <v>28</v>
      </c>
      <c r="D26" s="7">
        <f>COUNTIFS(Requerimientos!$H$6:$H$43,A26,Requerimientos!$P$6:$P$43,"Implementado")</f>
        <v>21</v>
      </c>
      <c r="E26" s="7">
        <f>COUNTIFS(Requerimientos!$H$6:$H$43,A26,Requerimientos!$P$6:$P$43,"Parcial")</f>
        <v>6</v>
      </c>
      <c r="F26" s="7">
        <f>COUNTIFS(Requerimientos!$H$6:$H$43,A26,Requerimientos!$P$6:$P$43,"Pendiente")</f>
        <v>1</v>
      </c>
    </row>
    <row r="27" spans="1:8" x14ac:dyDescent="0.3">
      <c r="A27" s="88" t="s">
        <v>104</v>
      </c>
      <c r="B27" s="75"/>
      <c r="C27" s="7">
        <f>COUNTIF(Requerimientos!$H$6:$H$43,A27)</f>
        <v>9</v>
      </c>
      <c r="D27" s="7">
        <f>COUNTIFS(Requerimientos!$H$6:$H$43,A27,Requerimientos!$P$6:$P$43,"Implementado")</f>
        <v>4</v>
      </c>
      <c r="E27" s="7">
        <f>COUNTIFS(Requerimientos!$H$6:$H$43,A27,Requerimientos!$P$6:$P$43,"Parcial")</f>
        <v>2</v>
      </c>
      <c r="F27" s="7">
        <f>COUNTIFS(Requerimientos!$H$6:$H$43,A27,Requerimientos!$P$6:$P$43,"Pendiente")</f>
        <v>3</v>
      </c>
    </row>
    <row r="28" spans="1:8" x14ac:dyDescent="0.3">
      <c r="A28" s="88" t="s">
        <v>105</v>
      </c>
      <c r="B28" s="75"/>
      <c r="C28" s="7">
        <f>COUNTIF(Requerimientos!$H$6:$H$43,A28)</f>
        <v>1</v>
      </c>
      <c r="D28" s="7">
        <f>COUNTIFS(Requerimientos!$H$6:$H$43,A28,Requerimientos!$P$6:$P$43,"Implementado")</f>
        <v>0</v>
      </c>
      <c r="E28" s="7">
        <f>COUNTIFS(Requerimientos!$H$6:$H$43,A28,Requerimientos!$P$6:$P$43,"Parcial")</f>
        <v>1</v>
      </c>
      <c r="F28" s="7">
        <f>COUNTIFS(Requerimientos!$H$6:$H$43,A28,Requerimientos!$P$6:$P$43,"Pendiente")</f>
        <v>0</v>
      </c>
    </row>
    <row r="30" spans="1:8" x14ac:dyDescent="0.3">
      <c r="A30" s="5" t="s">
        <v>106</v>
      </c>
    </row>
    <row r="31" spans="1:8" x14ac:dyDescent="0.3">
      <c r="A31" s="82" t="s">
        <v>107</v>
      </c>
      <c r="B31" s="73"/>
      <c r="C31" s="73"/>
      <c r="D31" s="73"/>
      <c r="E31" s="73"/>
      <c r="F31" s="17">
        <f>COUNTIF(Trazabilidad!$BG$6:$BG$43,"Cubierto")</f>
        <v>35</v>
      </c>
    </row>
    <row r="32" spans="1:8" x14ac:dyDescent="0.3">
      <c r="A32" s="82" t="s">
        <v>108</v>
      </c>
      <c r="B32" s="73"/>
      <c r="C32" s="73"/>
      <c r="D32" s="73"/>
      <c r="E32" s="73"/>
      <c r="F32" s="17">
        <f>COUNTIF(Trazabilidad!$BG$6:$BG$43,"Con caso propuesto")</f>
        <v>3</v>
      </c>
    </row>
    <row r="33" spans="1:6" x14ac:dyDescent="0.3">
      <c r="A33" s="82" t="s">
        <v>109</v>
      </c>
      <c r="B33" s="73"/>
      <c r="C33" s="73"/>
      <c r="D33" s="73"/>
      <c r="E33" s="73"/>
      <c r="F33" s="17">
        <f>COUNTIF('Pruebas por requerimiento'!$Q$6:$Q$59,"Plan 21-09")</f>
        <v>51</v>
      </c>
    </row>
    <row r="34" spans="1:6" x14ac:dyDescent="0.3">
      <c r="A34" s="82" t="s">
        <v>110</v>
      </c>
      <c r="B34" s="73"/>
      <c r="C34" s="73"/>
      <c r="D34" s="73"/>
      <c r="E34" s="73"/>
      <c r="F34" s="17">
        <f>COUNTIF('Pruebas por requerimiento'!$Q$6:$Q$59,"Propuesto")</f>
        <v>3</v>
      </c>
    </row>
  </sheetData>
  <mergeCells count="34">
    <mergeCell ref="A28:B28"/>
    <mergeCell ref="A13:B13"/>
    <mergeCell ref="A31:E31"/>
    <mergeCell ref="A9:B9"/>
    <mergeCell ref="K5:L5"/>
    <mergeCell ref="K4:L4"/>
    <mergeCell ref="C4:D4"/>
    <mergeCell ref="E4:F4"/>
    <mergeCell ref="A16:B16"/>
    <mergeCell ref="A12:B12"/>
    <mergeCell ref="A5:B5"/>
    <mergeCell ref="G5:H5"/>
    <mergeCell ref="I5:J5"/>
    <mergeCell ref="A14:B14"/>
    <mergeCell ref="A4:B4"/>
    <mergeCell ref="G4:H4"/>
    <mergeCell ref="I4:J4"/>
    <mergeCell ref="A10:B10"/>
    <mergeCell ref="A34:E34"/>
    <mergeCell ref="A15:B15"/>
    <mergeCell ref="A11:B11"/>
    <mergeCell ref="C5:D5"/>
    <mergeCell ref="E5:F5"/>
    <mergeCell ref="A25:B25"/>
    <mergeCell ref="A18:B18"/>
    <mergeCell ref="A27:B27"/>
    <mergeCell ref="A26:B26"/>
    <mergeCell ref="A21:B21"/>
    <mergeCell ref="A33:E33"/>
    <mergeCell ref="A32:E32"/>
    <mergeCell ref="A17:B17"/>
    <mergeCell ref="A22:B22"/>
    <mergeCell ref="A20:B20"/>
    <mergeCell ref="A19:B19"/>
  </mergeCells>
  <conditionalFormatting sqref="H10:H21">
    <cfRule type="cellIs" dxfId="10" priority="1" operator="lessThan">
      <formula>0.5</formula>
    </cfRule>
  </conditionalFormatting>
  <pageMargins left="0.4" right="0.4" top="0.5" bottom="0.5" header="0.5" footer="0.5"/>
  <pageSetup paperSize="9" fitToHeight="0" orientation="landscape"/>
  <headerFooter>
    <oddFooter>&amp;C&amp;8 Toma de Requerimientos · Proyecto APT Inchcape · Página &amp;P de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43"/>
  <sheetViews>
    <sheetView showGridLines="0" workbookViewId="0">
      <pane xSplit="4" ySplit="5" topLeftCell="E6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5" customWidth="1"/>
    <col min="2" max="2" width="17" customWidth="1"/>
    <col min="3" max="3" width="8" customWidth="1"/>
    <col min="4" max="4" width="28" customWidth="1"/>
    <col min="5" max="5" width="58" customWidth="1"/>
    <col min="6" max="6" width="11" customWidth="1"/>
    <col min="7" max="7" width="15" customWidth="1"/>
    <col min="8" max="8" width="9" customWidth="1"/>
    <col min="9" max="10" width="17" customWidth="1"/>
    <col min="11" max="11" width="10" customWidth="1"/>
    <col min="12" max="12" width="40" customWidth="1"/>
    <col min="13" max="14" width="14" customWidth="1"/>
    <col min="15" max="15" width="24" customWidth="1"/>
    <col min="16" max="16" width="13" customWidth="1"/>
    <col min="17" max="17" width="44" customWidth="1"/>
  </cols>
  <sheetData>
    <row r="1" spans="1:17" ht="24" customHeight="1" x14ac:dyDescent="0.4">
      <c r="A1" s="11" t="s">
        <v>111</v>
      </c>
    </row>
    <row r="2" spans="1:17" x14ac:dyDescent="0.3">
      <c r="A2" s="12" t="s">
        <v>112</v>
      </c>
    </row>
    <row r="3" spans="1:17" x14ac:dyDescent="0.3">
      <c r="A3" s="13" t="s">
        <v>113</v>
      </c>
    </row>
    <row r="5" spans="1:17" ht="30" customHeight="1" x14ac:dyDescent="0.3">
      <c r="A5" s="6" t="s">
        <v>114</v>
      </c>
      <c r="B5" s="6" t="s">
        <v>21</v>
      </c>
      <c r="C5" s="6" t="s">
        <v>70</v>
      </c>
      <c r="D5" s="6" t="s">
        <v>115</v>
      </c>
      <c r="E5" s="6" t="s">
        <v>116</v>
      </c>
      <c r="F5" s="6" t="s">
        <v>117</v>
      </c>
      <c r="G5" s="6" t="s">
        <v>118</v>
      </c>
      <c r="H5" s="6" t="s">
        <v>102</v>
      </c>
      <c r="I5" s="6" t="s">
        <v>119</v>
      </c>
      <c r="J5" s="6" t="s">
        <v>61</v>
      </c>
      <c r="K5" s="6" t="s">
        <v>120</v>
      </c>
      <c r="L5" s="6" t="s">
        <v>121</v>
      </c>
      <c r="M5" s="6" t="s">
        <v>122</v>
      </c>
      <c r="N5" s="6" t="s">
        <v>123</v>
      </c>
      <c r="O5" s="6" t="s">
        <v>124</v>
      </c>
      <c r="P5" s="6" t="s">
        <v>125</v>
      </c>
      <c r="Q5" s="6" t="s">
        <v>126</v>
      </c>
    </row>
    <row r="6" spans="1:17" ht="56.4" customHeight="1" x14ac:dyDescent="0.3">
      <c r="A6" s="18">
        <v>1</v>
      </c>
      <c r="B6" s="19" t="s">
        <v>25</v>
      </c>
      <c r="C6" s="20" t="s">
        <v>127</v>
      </c>
      <c r="D6" s="21" t="s">
        <v>128</v>
      </c>
      <c r="E6" s="22" t="s">
        <v>129</v>
      </c>
      <c r="F6" s="18" t="s">
        <v>130</v>
      </c>
      <c r="G6" s="22" t="s">
        <v>131</v>
      </c>
      <c r="H6" s="20" t="s">
        <v>103</v>
      </c>
      <c r="I6" s="22" t="s">
        <v>132</v>
      </c>
      <c r="J6" s="22" t="s">
        <v>57</v>
      </c>
      <c r="K6" s="18" t="s">
        <v>26</v>
      </c>
      <c r="L6" s="22" t="s">
        <v>133</v>
      </c>
      <c r="M6" s="18" t="s">
        <v>134</v>
      </c>
      <c r="N6" s="18" t="s">
        <v>135</v>
      </c>
      <c r="O6" s="22" t="s">
        <v>136</v>
      </c>
      <c r="P6" s="23" t="s">
        <v>96</v>
      </c>
      <c r="Q6" s="22" t="s">
        <v>137</v>
      </c>
    </row>
    <row r="7" spans="1:17" ht="43.8" customHeight="1" x14ac:dyDescent="0.3">
      <c r="A7" s="18">
        <v>2</v>
      </c>
      <c r="B7" s="19" t="s">
        <v>25</v>
      </c>
      <c r="C7" s="20" t="s">
        <v>138</v>
      </c>
      <c r="D7" s="21" t="s">
        <v>139</v>
      </c>
      <c r="E7" s="22" t="s">
        <v>140</v>
      </c>
      <c r="F7" s="18" t="s">
        <v>130</v>
      </c>
      <c r="G7" s="22" t="s">
        <v>131</v>
      </c>
      <c r="H7" s="20" t="s">
        <v>103</v>
      </c>
      <c r="I7" s="22" t="s">
        <v>132</v>
      </c>
      <c r="J7" s="22" t="s">
        <v>141</v>
      </c>
      <c r="K7" s="18" t="s">
        <v>127</v>
      </c>
      <c r="L7" s="22" t="s">
        <v>142</v>
      </c>
      <c r="M7" s="18" t="s">
        <v>143</v>
      </c>
      <c r="N7" s="18" t="s">
        <v>26</v>
      </c>
      <c r="O7" s="22" t="s">
        <v>144</v>
      </c>
      <c r="P7" s="23" t="s">
        <v>96</v>
      </c>
      <c r="Q7" s="22" t="s">
        <v>145</v>
      </c>
    </row>
    <row r="8" spans="1:17" ht="56.4" customHeight="1" x14ac:dyDescent="0.3">
      <c r="A8" s="18">
        <v>3</v>
      </c>
      <c r="B8" s="19" t="s">
        <v>25</v>
      </c>
      <c r="C8" s="20" t="s">
        <v>146</v>
      </c>
      <c r="D8" s="21" t="s">
        <v>147</v>
      </c>
      <c r="E8" s="22" t="s">
        <v>148</v>
      </c>
      <c r="F8" s="18" t="s">
        <v>130</v>
      </c>
      <c r="G8" s="22" t="s">
        <v>131</v>
      </c>
      <c r="H8" s="20" t="s">
        <v>103</v>
      </c>
      <c r="I8" s="22" t="s">
        <v>132</v>
      </c>
      <c r="J8" s="22" t="s">
        <v>141</v>
      </c>
      <c r="K8" s="18" t="s">
        <v>138</v>
      </c>
      <c r="L8" s="22" t="s">
        <v>149</v>
      </c>
      <c r="M8" s="18" t="s">
        <v>150</v>
      </c>
      <c r="N8" s="18" t="s">
        <v>26</v>
      </c>
      <c r="O8" s="22" t="s">
        <v>144</v>
      </c>
      <c r="P8" s="23" t="s">
        <v>96</v>
      </c>
      <c r="Q8" s="22" t="s">
        <v>151</v>
      </c>
    </row>
    <row r="9" spans="1:17" ht="43.8" customHeight="1" x14ac:dyDescent="0.3">
      <c r="A9" s="18">
        <v>4</v>
      </c>
      <c r="B9" s="19" t="s">
        <v>25</v>
      </c>
      <c r="C9" s="20" t="s">
        <v>152</v>
      </c>
      <c r="D9" s="21" t="s">
        <v>153</v>
      </c>
      <c r="E9" s="22" t="s">
        <v>154</v>
      </c>
      <c r="F9" s="18" t="s">
        <v>130</v>
      </c>
      <c r="G9" s="22" t="s">
        <v>131</v>
      </c>
      <c r="H9" s="18" t="s">
        <v>104</v>
      </c>
      <c r="I9" s="22" t="s">
        <v>132</v>
      </c>
      <c r="J9" s="22" t="s">
        <v>57</v>
      </c>
      <c r="K9" s="18" t="s">
        <v>127</v>
      </c>
      <c r="L9" s="22" t="s">
        <v>155</v>
      </c>
      <c r="M9" s="18" t="s">
        <v>156</v>
      </c>
      <c r="N9" s="18" t="s">
        <v>26</v>
      </c>
      <c r="O9" s="22" t="s">
        <v>136</v>
      </c>
      <c r="P9" s="24" t="s">
        <v>98</v>
      </c>
      <c r="Q9" s="22" t="s">
        <v>157</v>
      </c>
    </row>
    <row r="10" spans="1:17" ht="43.8" customHeight="1" x14ac:dyDescent="0.3">
      <c r="A10" s="18">
        <v>5</v>
      </c>
      <c r="B10" s="19" t="s">
        <v>25</v>
      </c>
      <c r="C10" s="20" t="s">
        <v>158</v>
      </c>
      <c r="D10" s="21" t="s">
        <v>159</v>
      </c>
      <c r="E10" s="22" t="s">
        <v>160</v>
      </c>
      <c r="F10" s="18" t="s">
        <v>130</v>
      </c>
      <c r="G10" s="22" t="s">
        <v>131</v>
      </c>
      <c r="H10" s="20" t="s">
        <v>103</v>
      </c>
      <c r="I10" s="22" t="s">
        <v>54</v>
      </c>
      <c r="J10" s="22" t="s">
        <v>141</v>
      </c>
      <c r="K10" s="18" t="s">
        <v>146</v>
      </c>
      <c r="L10" s="22" t="s">
        <v>161</v>
      </c>
      <c r="M10" s="18" t="s">
        <v>162</v>
      </c>
      <c r="N10" s="18" t="s">
        <v>163</v>
      </c>
      <c r="O10" s="22" t="s">
        <v>164</v>
      </c>
      <c r="P10" s="23" t="s">
        <v>96</v>
      </c>
      <c r="Q10" s="22" t="s">
        <v>165</v>
      </c>
    </row>
    <row r="11" spans="1:17" ht="56.4" customHeight="1" x14ac:dyDescent="0.3">
      <c r="A11" s="25">
        <v>6</v>
      </c>
      <c r="B11" s="26" t="s">
        <v>27</v>
      </c>
      <c r="C11" s="27" t="s">
        <v>166</v>
      </c>
      <c r="D11" s="28" t="s">
        <v>167</v>
      </c>
      <c r="E11" s="29" t="s">
        <v>168</v>
      </c>
      <c r="F11" s="25" t="s">
        <v>130</v>
      </c>
      <c r="G11" s="29" t="s">
        <v>131</v>
      </c>
      <c r="H11" s="27" t="s">
        <v>103</v>
      </c>
      <c r="I11" s="29" t="s">
        <v>132</v>
      </c>
      <c r="J11" s="29" t="s">
        <v>141</v>
      </c>
      <c r="K11" s="25" t="s">
        <v>146</v>
      </c>
      <c r="L11" s="29" t="s">
        <v>169</v>
      </c>
      <c r="M11" s="25" t="s">
        <v>170</v>
      </c>
      <c r="N11" s="25" t="s">
        <v>171</v>
      </c>
      <c r="O11" s="29" t="s">
        <v>172</v>
      </c>
      <c r="P11" s="30" t="s">
        <v>96</v>
      </c>
      <c r="Q11" s="29" t="s">
        <v>173</v>
      </c>
    </row>
    <row r="12" spans="1:17" ht="56.4" customHeight="1" x14ac:dyDescent="0.3">
      <c r="A12" s="18">
        <v>7</v>
      </c>
      <c r="B12" s="31" t="s">
        <v>27</v>
      </c>
      <c r="C12" s="20" t="s">
        <v>174</v>
      </c>
      <c r="D12" s="21" t="s">
        <v>175</v>
      </c>
      <c r="E12" s="22" t="s">
        <v>176</v>
      </c>
      <c r="F12" s="18" t="s">
        <v>130</v>
      </c>
      <c r="G12" s="22" t="s">
        <v>131</v>
      </c>
      <c r="H12" s="20" t="s">
        <v>103</v>
      </c>
      <c r="I12" s="22" t="s">
        <v>177</v>
      </c>
      <c r="J12" s="22" t="s">
        <v>141</v>
      </c>
      <c r="K12" s="18" t="s">
        <v>166</v>
      </c>
      <c r="L12" s="22" t="s">
        <v>178</v>
      </c>
      <c r="M12" s="18" t="s">
        <v>179</v>
      </c>
      <c r="N12" s="18" t="s">
        <v>26</v>
      </c>
      <c r="O12" s="22" t="s">
        <v>180</v>
      </c>
      <c r="P12" s="23" t="s">
        <v>96</v>
      </c>
      <c r="Q12" s="22" t="s">
        <v>181</v>
      </c>
    </row>
    <row r="13" spans="1:17" ht="43.8" customHeight="1" x14ac:dyDescent="0.3">
      <c r="A13" s="18">
        <v>8</v>
      </c>
      <c r="B13" s="31" t="s">
        <v>27</v>
      </c>
      <c r="C13" s="20" t="s">
        <v>182</v>
      </c>
      <c r="D13" s="21" t="s">
        <v>183</v>
      </c>
      <c r="E13" s="22" t="s">
        <v>184</v>
      </c>
      <c r="F13" s="18" t="s">
        <v>130</v>
      </c>
      <c r="G13" s="22" t="s">
        <v>131</v>
      </c>
      <c r="H13" s="20" t="s">
        <v>103</v>
      </c>
      <c r="I13" s="22" t="s">
        <v>132</v>
      </c>
      <c r="J13" s="22" t="s">
        <v>141</v>
      </c>
      <c r="K13" s="18" t="s">
        <v>166</v>
      </c>
      <c r="L13" s="22" t="s">
        <v>185</v>
      </c>
      <c r="M13" s="18" t="s">
        <v>186</v>
      </c>
      <c r="N13" s="18" t="s">
        <v>187</v>
      </c>
      <c r="O13" s="22" t="s">
        <v>180</v>
      </c>
      <c r="P13" s="32" t="s">
        <v>97</v>
      </c>
      <c r="Q13" s="22" t="s">
        <v>188</v>
      </c>
    </row>
    <row r="14" spans="1:17" ht="43.8" customHeight="1" x14ac:dyDescent="0.3">
      <c r="A14" s="18">
        <v>9</v>
      </c>
      <c r="B14" s="31" t="s">
        <v>27</v>
      </c>
      <c r="C14" s="20" t="s">
        <v>189</v>
      </c>
      <c r="D14" s="21" t="s">
        <v>190</v>
      </c>
      <c r="E14" s="22" t="s">
        <v>191</v>
      </c>
      <c r="F14" s="18" t="s">
        <v>130</v>
      </c>
      <c r="G14" s="22" t="s">
        <v>131</v>
      </c>
      <c r="H14" s="20" t="s">
        <v>103</v>
      </c>
      <c r="I14" s="22" t="s">
        <v>177</v>
      </c>
      <c r="J14" s="22" t="s">
        <v>141</v>
      </c>
      <c r="K14" s="18" t="s">
        <v>174</v>
      </c>
      <c r="L14" s="22" t="s">
        <v>192</v>
      </c>
      <c r="M14" s="18" t="s">
        <v>193</v>
      </c>
      <c r="N14" s="18" t="s">
        <v>26</v>
      </c>
      <c r="O14" s="22" t="s">
        <v>180</v>
      </c>
      <c r="P14" s="23" t="s">
        <v>96</v>
      </c>
      <c r="Q14" s="22" t="s">
        <v>194</v>
      </c>
    </row>
    <row r="15" spans="1:17" ht="56.4" customHeight="1" x14ac:dyDescent="0.3">
      <c r="A15" s="25">
        <v>10</v>
      </c>
      <c r="B15" s="33" t="s">
        <v>29</v>
      </c>
      <c r="C15" s="27" t="s">
        <v>195</v>
      </c>
      <c r="D15" s="28" t="s">
        <v>196</v>
      </c>
      <c r="E15" s="29" t="s">
        <v>197</v>
      </c>
      <c r="F15" s="25" t="s">
        <v>130</v>
      </c>
      <c r="G15" s="29" t="s">
        <v>131</v>
      </c>
      <c r="H15" s="27" t="s">
        <v>103</v>
      </c>
      <c r="I15" s="29" t="s">
        <v>51</v>
      </c>
      <c r="J15" s="29" t="s">
        <v>51</v>
      </c>
      <c r="K15" s="25" t="s">
        <v>166</v>
      </c>
      <c r="L15" s="29" t="s">
        <v>198</v>
      </c>
      <c r="M15" s="25" t="s">
        <v>199</v>
      </c>
      <c r="N15" s="25" t="s">
        <v>26</v>
      </c>
      <c r="O15" s="29" t="s">
        <v>200</v>
      </c>
      <c r="P15" s="30" t="s">
        <v>96</v>
      </c>
      <c r="Q15" s="29" t="s">
        <v>201</v>
      </c>
    </row>
    <row r="16" spans="1:17" ht="43.8" customHeight="1" x14ac:dyDescent="0.3">
      <c r="A16" s="25">
        <v>11</v>
      </c>
      <c r="B16" s="26" t="s">
        <v>31</v>
      </c>
      <c r="C16" s="27" t="s">
        <v>202</v>
      </c>
      <c r="D16" s="28" t="s">
        <v>203</v>
      </c>
      <c r="E16" s="29" t="s">
        <v>204</v>
      </c>
      <c r="F16" s="25" t="s">
        <v>130</v>
      </c>
      <c r="G16" s="29" t="s">
        <v>131</v>
      </c>
      <c r="H16" s="27" t="s">
        <v>103</v>
      </c>
      <c r="I16" s="29" t="s">
        <v>132</v>
      </c>
      <c r="J16" s="29" t="s">
        <v>141</v>
      </c>
      <c r="K16" s="25" t="s">
        <v>189</v>
      </c>
      <c r="L16" s="29" t="s">
        <v>205</v>
      </c>
      <c r="M16" s="25" t="s">
        <v>206</v>
      </c>
      <c r="N16" s="25" t="s">
        <v>26</v>
      </c>
      <c r="O16" s="29" t="s">
        <v>207</v>
      </c>
      <c r="P16" s="30" t="s">
        <v>96</v>
      </c>
      <c r="Q16" s="29" t="s">
        <v>208</v>
      </c>
    </row>
    <row r="17" spans="1:17" ht="43.8" customHeight="1" x14ac:dyDescent="0.3">
      <c r="A17" s="18">
        <v>12</v>
      </c>
      <c r="B17" s="31" t="s">
        <v>31</v>
      </c>
      <c r="C17" s="20" t="s">
        <v>209</v>
      </c>
      <c r="D17" s="21" t="s">
        <v>210</v>
      </c>
      <c r="E17" s="22" t="s">
        <v>211</v>
      </c>
      <c r="F17" s="18" t="s">
        <v>130</v>
      </c>
      <c r="G17" s="22" t="s">
        <v>131</v>
      </c>
      <c r="H17" s="20" t="s">
        <v>103</v>
      </c>
      <c r="I17" s="22" t="s">
        <v>66</v>
      </c>
      <c r="J17" s="22" t="s">
        <v>212</v>
      </c>
      <c r="K17" s="18" t="s">
        <v>202</v>
      </c>
      <c r="L17" s="22" t="s">
        <v>213</v>
      </c>
      <c r="M17" s="18" t="s">
        <v>214</v>
      </c>
      <c r="N17" s="18" t="s">
        <v>215</v>
      </c>
      <c r="O17" s="22" t="s">
        <v>216</v>
      </c>
      <c r="P17" s="23" t="s">
        <v>96</v>
      </c>
      <c r="Q17" s="22" t="s">
        <v>217</v>
      </c>
    </row>
    <row r="18" spans="1:17" ht="43.8" customHeight="1" x14ac:dyDescent="0.3">
      <c r="A18" s="25">
        <v>13</v>
      </c>
      <c r="B18" s="33" t="s">
        <v>32</v>
      </c>
      <c r="C18" s="27" t="s">
        <v>218</v>
      </c>
      <c r="D18" s="28" t="s">
        <v>219</v>
      </c>
      <c r="E18" s="29" t="s">
        <v>220</v>
      </c>
      <c r="F18" s="25" t="s">
        <v>130</v>
      </c>
      <c r="G18" s="29" t="s">
        <v>131</v>
      </c>
      <c r="H18" s="27" t="s">
        <v>103</v>
      </c>
      <c r="I18" s="29" t="s">
        <v>54</v>
      </c>
      <c r="J18" s="29" t="s">
        <v>212</v>
      </c>
      <c r="K18" s="25" t="s">
        <v>209</v>
      </c>
      <c r="L18" s="29" t="s">
        <v>221</v>
      </c>
      <c r="M18" s="25" t="s">
        <v>222</v>
      </c>
      <c r="N18" s="25" t="s">
        <v>215</v>
      </c>
      <c r="O18" s="29" t="s">
        <v>223</v>
      </c>
      <c r="P18" s="30" t="s">
        <v>96</v>
      </c>
      <c r="Q18" s="29" t="s">
        <v>224</v>
      </c>
    </row>
    <row r="19" spans="1:17" ht="43.8" customHeight="1" x14ac:dyDescent="0.3">
      <c r="A19" s="18">
        <v>14</v>
      </c>
      <c r="B19" s="19" t="s">
        <v>32</v>
      </c>
      <c r="C19" s="20" t="s">
        <v>225</v>
      </c>
      <c r="D19" s="21" t="s">
        <v>226</v>
      </c>
      <c r="E19" s="22" t="s">
        <v>227</v>
      </c>
      <c r="F19" s="18" t="s">
        <v>130</v>
      </c>
      <c r="G19" s="22" t="s">
        <v>131</v>
      </c>
      <c r="H19" s="18" t="s">
        <v>104</v>
      </c>
      <c r="I19" s="22" t="s">
        <v>54</v>
      </c>
      <c r="J19" s="22" t="s">
        <v>212</v>
      </c>
      <c r="K19" s="18" t="s">
        <v>218</v>
      </c>
      <c r="L19" s="22" t="s">
        <v>228</v>
      </c>
      <c r="M19" s="18" t="s">
        <v>229</v>
      </c>
      <c r="N19" s="18" t="s">
        <v>230</v>
      </c>
      <c r="O19" s="22" t="s">
        <v>223</v>
      </c>
      <c r="P19" s="23" t="s">
        <v>96</v>
      </c>
      <c r="Q19" s="22" t="s">
        <v>231</v>
      </c>
    </row>
    <row r="20" spans="1:17" ht="31.2" customHeight="1" x14ac:dyDescent="0.3">
      <c r="A20" s="18">
        <v>15</v>
      </c>
      <c r="B20" s="19" t="s">
        <v>32</v>
      </c>
      <c r="C20" s="20" t="s">
        <v>232</v>
      </c>
      <c r="D20" s="21" t="s">
        <v>233</v>
      </c>
      <c r="E20" s="22" t="s">
        <v>234</v>
      </c>
      <c r="F20" s="18" t="s">
        <v>130</v>
      </c>
      <c r="G20" s="22" t="s">
        <v>131</v>
      </c>
      <c r="H20" s="18" t="s">
        <v>104</v>
      </c>
      <c r="I20" s="22" t="s">
        <v>54</v>
      </c>
      <c r="J20" s="22" t="s">
        <v>212</v>
      </c>
      <c r="K20" s="18" t="s">
        <v>225</v>
      </c>
      <c r="L20" s="22" t="s">
        <v>235</v>
      </c>
      <c r="M20" s="18" t="s">
        <v>236</v>
      </c>
      <c r="N20" s="18" t="s">
        <v>26</v>
      </c>
      <c r="O20" s="22" t="s">
        <v>223</v>
      </c>
      <c r="P20" s="24" t="s">
        <v>98</v>
      </c>
      <c r="Q20" s="22" t="s">
        <v>237</v>
      </c>
    </row>
    <row r="21" spans="1:17" ht="56.4" customHeight="1" x14ac:dyDescent="0.3">
      <c r="A21" s="25">
        <v>16</v>
      </c>
      <c r="B21" s="26" t="s">
        <v>34</v>
      </c>
      <c r="C21" s="27" t="s">
        <v>238</v>
      </c>
      <c r="D21" s="28" t="s">
        <v>239</v>
      </c>
      <c r="E21" s="29" t="s">
        <v>240</v>
      </c>
      <c r="F21" s="25" t="s">
        <v>130</v>
      </c>
      <c r="G21" s="29" t="s">
        <v>131</v>
      </c>
      <c r="H21" s="27" t="s">
        <v>103</v>
      </c>
      <c r="I21" s="29" t="s">
        <v>132</v>
      </c>
      <c r="J21" s="29" t="s">
        <v>57</v>
      </c>
      <c r="K21" s="25" t="s">
        <v>218</v>
      </c>
      <c r="L21" s="29" t="s">
        <v>241</v>
      </c>
      <c r="M21" s="25" t="s">
        <v>242</v>
      </c>
      <c r="N21" s="25" t="s">
        <v>243</v>
      </c>
      <c r="O21" s="29" t="s">
        <v>244</v>
      </c>
      <c r="P21" s="34" t="s">
        <v>97</v>
      </c>
      <c r="Q21" s="29" t="s">
        <v>245</v>
      </c>
    </row>
    <row r="22" spans="1:17" ht="43.8" customHeight="1" x14ac:dyDescent="0.3">
      <c r="A22" s="18">
        <v>17</v>
      </c>
      <c r="B22" s="31" t="s">
        <v>34</v>
      </c>
      <c r="C22" s="20" t="s">
        <v>246</v>
      </c>
      <c r="D22" s="21" t="s">
        <v>247</v>
      </c>
      <c r="E22" s="22" t="s">
        <v>248</v>
      </c>
      <c r="F22" s="18" t="s">
        <v>130</v>
      </c>
      <c r="G22" s="22" t="s">
        <v>131</v>
      </c>
      <c r="H22" s="20" t="s">
        <v>103</v>
      </c>
      <c r="I22" s="22" t="s">
        <v>132</v>
      </c>
      <c r="J22" s="22" t="s">
        <v>57</v>
      </c>
      <c r="K22" s="18" t="s">
        <v>238</v>
      </c>
      <c r="L22" s="22" t="s">
        <v>249</v>
      </c>
      <c r="M22" s="18" t="s">
        <v>250</v>
      </c>
      <c r="N22" s="18" t="s">
        <v>26</v>
      </c>
      <c r="O22" s="22" t="s">
        <v>251</v>
      </c>
      <c r="P22" s="32" t="s">
        <v>97</v>
      </c>
      <c r="Q22" s="22" t="s">
        <v>252</v>
      </c>
    </row>
    <row r="23" spans="1:17" ht="43.8" customHeight="1" x14ac:dyDescent="0.3">
      <c r="A23" s="18">
        <v>18</v>
      </c>
      <c r="B23" s="31" t="s">
        <v>34</v>
      </c>
      <c r="C23" s="20" t="s">
        <v>253</v>
      </c>
      <c r="D23" s="21" t="s">
        <v>254</v>
      </c>
      <c r="E23" s="22" t="s">
        <v>255</v>
      </c>
      <c r="F23" s="18" t="s">
        <v>130</v>
      </c>
      <c r="G23" s="22" t="s">
        <v>131</v>
      </c>
      <c r="H23" s="18" t="s">
        <v>104</v>
      </c>
      <c r="I23" s="22" t="s">
        <v>132</v>
      </c>
      <c r="J23" s="22" t="s">
        <v>57</v>
      </c>
      <c r="K23" s="18" t="s">
        <v>238</v>
      </c>
      <c r="L23" s="22" t="s">
        <v>256</v>
      </c>
      <c r="M23" s="18" t="s">
        <v>257</v>
      </c>
      <c r="N23" s="18" t="s">
        <v>26</v>
      </c>
      <c r="O23" s="22" t="s">
        <v>244</v>
      </c>
      <c r="P23" s="23" t="s">
        <v>96</v>
      </c>
      <c r="Q23" s="22" t="s">
        <v>258</v>
      </c>
    </row>
    <row r="24" spans="1:17" ht="43.8" customHeight="1" x14ac:dyDescent="0.3">
      <c r="A24" s="18">
        <v>19</v>
      </c>
      <c r="B24" s="31" t="s">
        <v>34</v>
      </c>
      <c r="C24" s="20" t="s">
        <v>259</v>
      </c>
      <c r="D24" s="21" t="s">
        <v>260</v>
      </c>
      <c r="E24" s="22" t="s">
        <v>261</v>
      </c>
      <c r="F24" s="18" t="s">
        <v>130</v>
      </c>
      <c r="G24" s="22" t="s">
        <v>131</v>
      </c>
      <c r="H24" s="20" t="s">
        <v>103</v>
      </c>
      <c r="I24" s="22" t="s">
        <v>132</v>
      </c>
      <c r="J24" s="22" t="s">
        <v>57</v>
      </c>
      <c r="K24" s="18" t="s">
        <v>262</v>
      </c>
      <c r="L24" s="22" t="s">
        <v>263</v>
      </c>
      <c r="M24" s="18" t="s">
        <v>264</v>
      </c>
      <c r="N24" s="18" t="s">
        <v>26</v>
      </c>
      <c r="O24" s="22" t="s">
        <v>265</v>
      </c>
      <c r="P24" s="23" t="s">
        <v>96</v>
      </c>
      <c r="Q24" s="22" t="s">
        <v>266</v>
      </c>
    </row>
    <row r="25" spans="1:17" ht="31.2" customHeight="1" x14ac:dyDescent="0.3">
      <c r="A25" s="18">
        <v>20</v>
      </c>
      <c r="B25" s="31" t="s">
        <v>34</v>
      </c>
      <c r="C25" s="20" t="s">
        <v>267</v>
      </c>
      <c r="D25" s="21" t="s">
        <v>268</v>
      </c>
      <c r="E25" s="22" t="s">
        <v>269</v>
      </c>
      <c r="F25" s="18" t="s">
        <v>130</v>
      </c>
      <c r="G25" s="22" t="s">
        <v>131</v>
      </c>
      <c r="H25" s="20" t="s">
        <v>103</v>
      </c>
      <c r="I25" s="22" t="s">
        <v>177</v>
      </c>
      <c r="J25" s="22" t="s">
        <v>141</v>
      </c>
      <c r="K25" s="18" t="s">
        <v>209</v>
      </c>
      <c r="L25" s="22" t="s">
        <v>270</v>
      </c>
      <c r="M25" s="18" t="s">
        <v>271</v>
      </c>
      <c r="N25" s="18" t="s">
        <v>26</v>
      </c>
      <c r="O25" s="22" t="s">
        <v>272</v>
      </c>
      <c r="P25" s="23" t="s">
        <v>96</v>
      </c>
      <c r="Q25" s="22" t="s">
        <v>273</v>
      </c>
    </row>
    <row r="26" spans="1:17" ht="43.8" customHeight="1" x14ac:dyDescent="0.3">
      <c r="A26" s="25">
        <v>21</v>
      </c>
      <c r="B26" s="33" t="s">
        <v>36</v>
      </c>
      <c r="C26" s="27" t="s">
        <v>274</v>
      </c>
      <c r="D26" s="28" t="s">
        <v>275</v>
      </c>
      <c r="E26" s="29" t="s">
        <v>276</v>
      </c>
      <c r="F26" s="25" t="s">
        <v>130</v>
      </c>
      <c r="G26" s="29" t="s">
        <v>131</v>
      </c>
      <c r="H26" s="27" t="s">
        <v>103</v>
      </c>
      <c r="I26" s="29" t="s">
        <v>54</v>
      </c>
      <c r="J26" s="29" t="s">
        <v>57</v>
      </c>
      <c r="K26" s="25" t="s">
        <v>238</v>
      </c>
      <c r="L26" s="29" t="s">
        <v>277</v>
      </c>
      <c r="M26" s="25" t="s">
        <v>278</v>
      </c>
      <c r="N26" s="25" t="s">
        <v>243</v>
      </c>
      <c r="O26" s="29" t="s">
        <v>279</v>
      </c>
      <c r="P26" s="30" t="s">
        <v>96</v>
      </c>
      <c r="Q26" s="29" t="s">
        <v>280</v>
      </c>
    </row>
    <row r="27" spans="1:17" ht="43.8" customHeight="1" x14ac:dyDescent="0.3">
      <c r="A27" s="18">
        <v>22</v>
      </c>
      <c r="B27" s="19" t="s">
        <v>36</v>
      </c>
      <c r="C27" s="20" t="s">
        <v>281</v>
      </c>
      <c r="D27" s="21" t="s">
        <v>282</v>
      </c>
      <c r="E27" s="22" t="s">
        <v>283</v>
      </c>
      <c r="F27" s="18" t="s">
        <v>130</v>
      </c>
      <c r="G27" s="22" t="s">
        <v>131</v>
      </c>
      <c r="H27" s="20" t="s">
        <v>103</v>
      </c>
      <c r="I27" s="22" t="s">
        <v>51</v>
      </c>
      <c r="J27" s="22" t="s">
        <v>54</v>
      </c>
      <c r="K27" s="18" t="s">
        <v>284</v>
      </c>
      <c r="L27" s="22" t="s">
        <v>285</v>
      </c>
      <c r="M27" s="18" t="s">
        <v>286</v>
      </c>
      <c r="N27" s="18" t="s">
        <v>26</v>
      </c>
      <c r="O27" s="22" t="s">
        <v>279</v>
      </c>
      <c r="P27" s="23" t="s">
        <v>96</v>
      </c>
      <c r="Q27" s="22" t="s">
        <v>287</v>
      </c>
    </row>
    <row r="28" spans="1:17" ht="56.4" customHeight="1" x14ac:dyDescent="0.3">
      <c r="A28" s="25">
        <v>23</v>
      </c>
      <c r="B28" s="26" t="s">
        <v>38</v>
      </c>
      <c r="C28" s="27" t="s">
        <v>288</v>
      </c>
      <c r="D28" s="28" t="s">
        <v>289</v>
      </c>
      <c r="E28" s="29" t="s">
        <v>290</v>
      </c>
      <c r="F28" s="25" t="s">
        <v>130</v>
      </c>
      <c r="G28" s="29" t="s">
        <v>131</v>
      </c>
      <c r="H28" s="27" t="s">
        <v>103</v>
      </c>
      <c r="I28" s="29" t="s">
        <v>54</v>
      </c>
      <c r="J28" s="29" t="s">
        <v>54</v>
      </c>
      <c r="K28" s="25" t="s">
        <v>274</v>
      </c>
      <c r="L28" s="29" t="s">
        <v>291</v>
      </c>
      <c r="M28" s="25" t="s">
        <v>292</v>
      </c>
      <c r="N28" s="25" t="s">
        <v>293</v>
      </c>
      <c r="O28" s="29" t="s">
        <v>294</v>
      </c>
      <c r="P28" s="30" t="s">
        <v>96</v>
      </c>
      <c r="Q28" s="29" t="s">
        <v>295</v>
      </c>
    </row>
    <row r="29" spans="1:17" ht="43.8" customHeight="1" x14ac:dyDescent="0.3">
      <c r="A29" s="18">
        <v>24</v>
      </c>
      <c r="B29" s="31" t="s">
        <v>38</v>
      </c>
      <c r="C29" s="20" t="s">
        <v>296</v>
      </c>
      <c r="D29" s="21" t="s">
        <v>297</v>
      </c>
      <c r="E29" s="22" t="s">
        <v>298</v>
      </c>
      <c r="F29" s="18" t="s">
        <v>130</v>
      </c>
      <c r="G29" s="22" t="s">
        <v>131</v>
      </c>
      <c r="H29" s="20" t="s">
        <v>103</v>
      </c>
      <c r="I29" s="22" t="s">
        <v>54</v>
      </c>
      <c r="J29" s="22" t="s">
        <v>54</v>
      </c>
      <c r="K29" s="18" t="s">
        <v>288</v>
      </c>
      <c r="L29" s="22" t="s">
        <v>299</v>
      </c>
      <c r="M29" s="18" t="s">
        <v>300</v>
      </c>
      <c r="N29" s="18" t="s">
        <v>243</v>
      </c>
      <c r="O29" s="22" t="s">
        <v>301</v>
      </c>
      <c r="P29" s="32" t="s">
        <v>97</v>
      </c>
      <c r="Q29" s="22" t="s">
        <v>302</v>
      </c>
    </row>
    <row r="30" spans="1:17" ht="43.8" customHeight="1" x14ac:dyDescent="0.3">
      <c r="A30" s="25">
        <v>25</v>
      </c>
      <c r="B30" s="33" t="s">
        <v>40</v>
      </c>
      <c r="C30" s="27" t="s">
        <v>303</v>
      </c>
      <c r="D30" s="28" t="s">
        <v>304</v>
      </c>
      <c r="E30" s="29" t="s">
        <v>305</v>
      </c>
      <c r="F30" s="25" t="s">
        <v>130</v>
      </c>
      <c r="G30" s="29" t="s">
        <v>131</v>
      </c>
      <c r="H30" s="27" t="s">
        <v>103</v>
      </c>
      <c r="I30" s="29" t="s">
        <v>54</v>
      </c>
      <c r="J30" s="29" t="s">
        <v>54</v>
      </c>
      <c r="K30" s="25" t="s">
        <v>218</v>
      </c>
      <c r="L30" s="29" t="s">
        <v>306</v>
      </c>
      <c r="M30" s="25" t="s">
        <v>307</v>
      </c>
      <c r="N30" s="25" t="s">
        <v>26</v>
      </c>
      <c r="O30" s="29" t="s">
        <v>308</v>
      </c>
      <c r="P30" s="30" t="s">
        <v>96</v>
      </c>
      <c r="Q30" s="29" t="s">
        <v>309</v>
      </c>
    </row>
    <row r="31" spans="1:17" ht="43.8" customHeight="1" x14ac:dyDescent="0.3">
      <c r="A31" s="18">
        <v>26</v>
      </c>
      <c r="B31" s="19" t="s">
        <v>40</v>
      </c>
      <c r="C31" s="20" t="s">
        <v>310</v>
      </c>
      <c r="D31" s="21" t="s">
        <v>311</v>
      </c>
      <c r="E31" s="22" t="s">
        <v>312</v>
      </c>
      <c r="F31" s="18" t="s">
        <v>130</v>
      </c>
      <c r="G31" s="22" t="s">
        <v>131</v>
      </c>
      <c r="H31" s="18" t="s">
        <v>104</v>
      </c>
      <c r="I31" s="22" t="s">
        <v>66</v>
      </c>
      <c r="J31" s="22" t="s">
        <v>212</v>
      </c>
      <c r="K31" s="18" t="s">
        <v>303</v>
      </c>
      <c r="L31" s="22" t="s">
        <v>313</v>
      </c>
      <c r="M31" s="18" t="s">
        <v>215</v>
      </c>
      <c r="N31" s="18" t="s">
        <v>26</v>
      </c>
      <c r="O31" s="22" t="s">
        <v>314</v>
      </c>
      <c r="P31" s="32" t="s">
        <v>97</v>
      </c>
      <c r="Q31" s="22" t="s">
        <v>315</v>
      </c>
    </row>
    <row r="32" spans="1:17" ht="43.8" customHeight="1" x14ac:dyDescent="0.3">
      <c r="A32" s="25">
        <v>27</v>
      </c>
      <c r="B32" s="26" t="s">
        <v>42</v>
      </c>
      <c r="C32" s="27" t="s">
        <v>316</v>
      </c>
      <c r="D32" s="28" t="s">
        <v>317</v>
      </c>
      <c r="E32" s="29" t="s">
        <v>318</v>
      </c>
      <c r="F32" s="25" t="s">
        <v>130</v>
      </c>
      <c r="G32" s="29" t="s">
        <v>131</v>
      </c>
      <c r="H32" s="27" t="s">
        <v>103</v>
      </c>
      <c r="I32" s="29" t="s">
        <v>51</v>
      </c>
      <c r="J32" s="29" t="s">
        <v>57</v>
      </c>
      <c r="K32" s="25" t="s">
        <v>296</v>
      </c>
      <c r="L32" s="29" t="s">
        <v>319</v>
      </c>
      <c r="M32" s="25" t="s">
        <v>243</v>
      </c>
      <c r="N32" s="25" t="s">
        <v>320</v>
      </c>
      <c r="O32" s="29" t="s">
        <v>321</v>
      </c>
      <c r="P32" s="30" t="s">
        <v>96</v>
      </c>
      <c r="Q32" s="29" t="s">
        <v>322</v>
      </c>
    </row>
    <row r="33" spans="1:17" ht="43.8" customHeight="1" x14ac:dyDescent="0.3">
      <c r="A33" s="18">
        <v>28</v>
      </c>
      <c r="B33" s="31" t="s">
        <v>42</v>
      </c>
      <c r="C33" s="20" t="s">
        <v>323</v>
      </c>
      <c r="D33" s="21" t="s">
        <v>324</v>
      </c>
      <c r="E33" s="22" t="s">
        <v>325</v>
      </c>
      <c r="F33" s="18" t="s">
        <v>130</v>
      </c>
      <c r="G33" s="22" t="s">
        <v>131</v>
      </c>
      <c r="H33" s="18" t="s">
        <v>104</v>
      </c>
      <c r="I33" s="22" t="s">
        <v>54</v>
      </c>
      <c r="J33" s="22" t="s">
        <v>54</v>
      </c>
      <c r="K33" s="18" t="s">
        <v>326</v>
      </c>
      <c r="L33" s="22" t="s">
        <v>327</v>
      </c>
      <c r="M33" s="18" t="s">
        <v>163</v>
      </c>
      <c r="N33" s="18" t="s">
        <v>26</v>
      </c>
      <c r="O33" s="22" t="s">
        <v>328</v>
      </c>
      <c r="P33" s="32" t="s">
        <v>97</v>
      </c>
      <c r="Q33" s="22" t="s">
        <v>329</v>
      </c>
    </row>
    <row r="34" spans="1:17" ht="43.8" customHeight="1" x14ac:dyDescent="0.3">
      <c r="A34" s="25">
        <v>29</v>
      </c>
      <c r="B34" s="33" t="s">
        <v>44</v>
      </c>
      <c r="C34" s="27" t="s">
        <v>330</v>
      </c>
      <c r="D34" s="28" t="s">
        <v>331</v>
      </c>
      <c r="E34" s="29" t="s">
        <v>332</v>
      </c>
      <c r="F34" s="25" t="s">
        <v>130</v>
      </c>
      <c r="G34" s="29" t="s">
        <v>333</v>
      </c>
      <c r="H34" s="27" t="s">
        <v>103</v>
      </c>
      <c r="I34" s="29" t="s">
        <v>63</v>
      </c>
      <c r="J34" s="29" t="s">
        <v>334</v>
      </c>
      <c r="K34" s="25" t="s">
        <v>26</v>
      </c>
      <c r="L34" s="29" t="s">
        <v>335</v>
      </c>
      <c r="M34" s="25" t="s">
        <v>336</v>
      </c>
      <c r="N34" s="25" t="s">
        <v>26</v>
      </c>
      <c r="O34" s="29" t="s">
        <v>321</v>
      </c>
      <c r="P34" s="35" t="s">
        <v>98</v>
      </c>
      <c r="Q34" s="29" t="s">
        <v>337</v>
      </c>
    </row>
    <row r="35" spans="1:17" ht="31.2" customHeight="1" x14ac:dyDescent="0.3">
      <c r="A35" s="18">
        <v>30</v>
      </c>
      <c r="B35" s="19" t="s">
        <v>44</v>
      </c>
      <c r="C35" s="20" t="s">
        <v>338</v>
      </c>
      <c r="D35" s="21" t="s">
        <v>339</v>
      </c>
      <c r="E35" s="22" t="s">
        <v>340</v>
      </c>
      <c r="F35" s="18" t="s">
        <v>130</v>
      </c>
      <c r="G35" s="22" t="s">
        <v>333</v>
      </c>
      <c r="H35" s="18" t="s">
        <v>104</v>
      </c>
      <c r="I35" s="22" t="s">
        <v>63</v>
      </c>
      <c r="J35" s="22" t="s">
        <v>334</v>
      </c>
      <c r="K35" s="18" t="s">
        <v>330</v>
      </c>
      <c r="L35" s="22" t="s">
        <v>341</v>
      </c>
      <c r="M35" s="18" t="s">
        <v>342</v>
      </c>
      <c r="N35" s="18" t="s">
        <v>26</v>
      </c>
      <c r="O35" s="22" t="s">
        <v>343</v>
      </c>
      <c r="P35" s="24" t="s">
        <v>98</v>
      </c>
      <c r="Q35" s="22" t="s">
        <v>344</v>
      </c>
    </row>
    <row r="36" spans="1:17" ht="43.8" customHeight="1" x14ac:dyDescent="0.3">
      <c r="A36" s="25">
        <v>31</v>
      </c>
      <c r="B36" s="26" t="s">
        <v>45</v>
      </c>
      <c r="C36" s="27" t="s">
        <v>345</v>
      </c>
      <c r="D36" s="28" t="s">
        <v>346</v>
      </c>
      <c r="E36" s="29" t="s">
        <v>347</v>
      </c>
      <c r="F36" s="25" t="s">
        <v>348</v>
      </c>
      <c r="G36" s="29" t="s">
        <v>349</v>
      </c>
      <c r="H36" s="25" t="s">
        <v>104</v>
      </c>
      <c r="I36" s="29" t="s">
        <v>132</v>
      </c>
      <c r="J36" s="29" t="s">
        <v>57</v>
      </c>
      <c r="K36" s="25" t="s">
        <v>238</v>
      </c>
      <c r="L36" s="29" t="s">
        <v>350</v>
      </c>
      <c r="M36" s="25" t="s">
        <v>351</v>
      </c>
      <c r="N36" s="25" t="s">
        <v>26</v>
      </c>
      <c r="O36" s="29" t="s">
        <v>321</v>
      </c>
      <c r="P36" s="30" t="s">
        <v>96</v>
      </c>
      <c r="Q36" s="29" t="s">
        <v>352</v>
      </c>
    </row>
    <row r="37" spans="1:17" ht="31.2" customHeight="1" x14ac:dyDescent="0.3">
      <c r="A37" s="18">
        <v>32</v>
      </c>
      <c r="B37" s="31" t="s">
        <v>45</v>
      </c>
      <c r="C37" s="20" t="s">
        <v>353</v>
      </c>
      <c r="D37" s="21" t="s">
        <v>354</v>
      </c>
      <c r="E37" s="22" t="s">
        <v>355</v>
      </c>
      <c r="F37" s="18" t="s">
        <v>348</v>
      </c>
      <c r="G37" s="22" t="s">
        <v>349</v>
      </c>
      <c r="H37" s="18" t="s">
        <v>105</v>
      </c>
      <c r="I37" s="22" t="s">
        <v>63</v>
      </c>
      <c r="J37" s="22" t="s">
        <v>334</v>
      </c>
      <c r="K37" s="18" t="s">
        <v>316</v>
      </c>
      <c r="L37" s="22" t="s">
        <v>356</v>
      </c>
      <c r="M37" s="18" t="s">
        <v>357</v>
      </c>
      <c r="N37" s="18" t="s">
        <v>26</v>
      </c>
      <c r="O37" s="22" t="s">
        <v>358</v>
      </c>
      <c r="P37" s="32" t="s">
        <v>97</v>
      </c>
      <c r="Q37" s="22" t="s">
        <v>359</v>
      </c>
    </row>
    <row r="38" spans="1:17" ht="43.8" customHeight="1" x14ac:dyDescent="0.3">
      <c r="A38" s="18">
        <v>33</v>
      </c>
      <c r="B38" s="31" t="s">
        <v>45</v>
      </c>
      <c r="C38" s="20" t="s">
        <v>360</v>
      </c>
      <c r="D38" s="21" t="s">
        <v>361</v>
      </c>
      <c r="E38" s="22" t="s">
        <v>362</v>
      </c>
      <c r="F38" s="18" t="s">
        <v>348</v>
      </c>
      <c r="G38" s="22" t="s">
        <v>333</v>
      </c>
      <c r="H38" s="20" t="s">
        <v>103</v>
      </c>
      <c r="I38" s="22" t="s">
        <v>363</v>
      </c>
      <c r="J38" s="22" t="s">
        <v>334</v>
      </c>
      <c r="K38" s="18" t="s">
        <v>26</v>
      </c>
      <c r="L38" s="22" t="s">
        <v>364</v>
      </c>
      <c r="M38" s="18" t="s">
        <v>365</v>
      </c>
      <c r="N38" s="18" t="s">
        <v>26</v>
      </c>
      <c r="O38" s="22" t="s">
        <v>366</v>
      </c>
      <c r="P38" s="23" t="s">
        <v>96</v>
      </c>
      <c r="Q38" s="22" t="s">
        <v>367</v>
      </c>
    </row>
    <row r="39" spans="1:17" ht="43.8" customHeight="1" x14ac:dyDescent="0.3">
      <c r="A39" s="18">
        <v>34</v>
      </c>
      <c r="B39" s="31" t="s">
        <v>45</v>
      </c>
      <c r="C39" s="20" t="s">
        <v>368</v>
      </c>
      <c r="D39" s="21" t="s">
        <v>369</v>
      </c>
      <c r="E39" s="22" t="s">
        <v>370</v>
      </c>
      <c r="F39" s="18" t="s">
        <v>348</v>
      </c>
      <c r="G39" s="22" t="s">
        <v>371</v>
      </c>
      <c r="H39" s="20" t="s">
        <v>103</v>
      </c>
      <c r="I39" s="22" t="s">
        <v>177</v>
      </c>
      <c r="J39" s="22" t="s">
        <v>141</v>
      </c>
      <c r="K39" s="18" t="s">
        <v>189</v>
      </c>
      <c r="L39" s="22" t="s">
        <v>372</v>
      </c>
      <c r="M39" s="18" t="s">
        <v>373</v>
      </c>
      <c r="N39" s="18" t="s">
        <v>26</v>
      </c>
      <c r="O39" s="22" t="s">
        <v>374</v>
      </c>
      <c r="P39" s="23" t="s">
        <v>96</v>
      </c>
      <c r="Q39" s="22" t="s">
        <v>375</v>
      </c>
    </row>
    <row r="40" spans="1:17" ht="43.8" customHeight="1" x14ac:dyDescent="0.3">
      <c r="A40" s="18">
        <v>35</v>
      </c>
      <c r="B40" s="31" t="s">
        <v>45</v>
      </c>
      <c r="C40" s="20" t="s">
        <v>376</v>
      </c>
      <c r="D40" s="21" t="s">
        <v>377</v>
      </c>
      <c r="E40" s="22" t="s">
        <v>378</v>
      </c>
      <c r="F40" s="18" t="s">
        <v>348</v>
      </c>
      <c r="G40" s="22" t="s">
        <v>379</v>
      </c>
      <c r="H40" s="18" t="s">
        <v>104</v>
      </c>
      <c r="I40" s="22" t="s">
        <v>177</v>
      </c>
      <c r="J40" s="22" t="s">
        <v>141</v>
      </c>
      <c r="K40" s="18" t="s">
        <v>26</v>
      </c>
      <c r="L40" s="22" t="s">
        <v>380</v>
      </c>
      <c r="M40" s="18" t="s">
        <v>381</v>
      </c>
      <c r="N40" s="18" t="s">
        <v>26</v>
      </c>
      <c r="O40" s="22" t="s">
        <v>382</v>
      </c>
      <c r="P40" s="23" t="s">
        <v>96</v>
      </c>
      <c r="Q40" s="22" t="s">
        <v>383</v>
      </c>
    </row>
    <row r="41" spans="1:17" ht="31.2" customHeight="1" x14ac:dyDescent="0.3">
      <c r="A41" s="18">
        <v>36</v>
      </c>
      <c r="B41" s="31" t="s">
        <v>45</v>
      </c>
      <c r="C41" s="20" t="s">
        <v>384</v>
      </c>
      <c r="D41" s="21" t="s">
        <v>385</v>
      </c>
      <c r="E41" s="22" t="s">
        <v>386</v>
      </c>
      <c r="F41" s="18" t="s">
        <v>348</v>
      </c>
      <c r="G41" s="22" t="s">
        <v>387</v>
      </c>
      <c r="H41" s="20" t="s">
        <v>103</v>
      </c>
      <c r="I41" s="22" t="s">
        <v>132</v>
      </c>
      <c r="J41" s="22" t="s">
        <v>141</v>
      </c>
      <c r="K41" s="18" t="s">
        <v>127</v>
      </c>
      <c r="L41" s="22" t="s">
        <v>388</v>
      </c>
      <c r="M41" s="18" t="s">
        <v>389</v>
      </c>
      <c r="N41" s="18" t="s">
        <v>26</v>
      </c>
      <c r="O41" s="22" t="s">
        <v>136</v>
      </c>
      <c r="P41" s="23" t="s">
        <v>96</v>
      </c>
      <c r="Q41" s="22" t="s">
        <v>390</v>
      </c>
    </row>
    <row r="42" spans="1:17" ht="43.8" customHeight="1" x14ac:dyDescent="0.3">
      <c r="A42" s="18">
        <v>37</v>
      </c>
      <c r="B42" s="31" t="s">
        <v>45</v>
      </c>
      <c r="C42" s="20" t="s">
        <v>391</v>
      </c>
      <c r="D42" s="21" t="s">
        <v>392</v>
      </c>
      <c r="E42" s="22" t="s">
        <v>393</v>
      </c>
      <c r="F42" s="18" t="s">
        <v>348</v>
      </c>
      <c r="G42" s="22" t="s">
        <v>394</v>
      </c>
      <c r="H42" s="20" t="s">
        <v>103</v>
      </c>
      <c r="I42" s="22" t="s">
        <v>66</v>
      </c>
      <c r="J42" s="22" t="s">
        <v>57</v>
      </c>
      <c r="K42" s="18" t="s">
        <v>316</v>
      </c>
      <c r="L42" s="22" t="s">
        <v>395</v>
      </c>
      <c r="M42" s="18" t="s">
        <v>320</v>
      </c>
      <c r="N42" s="18" t="s">
        <v>396</v>
      </c>
      <c r="O42" s="22" t="s">
        <v>321</v>
      </c>
      <c r="P42" s="32" t="s">
        <v>97</v>
      </c>
      <c r="Q42" s="22" t="s">
        <v>397</v>
      </c>
    </row>
    <row r="43" spans="1:17" ht="43.8" customHeight="1" x14ac:dyDescent="0.3">
      <c r="A43" s="18">
        <v>38</v>
      </c>
      <c r="B43" s="31" t="s">
        <v>45</v>
      </c>
      <c r="C43" s="20" t="s">
        <v>398</v>
      </c>
      <c r="D43" s="21" t="s">
        <v>399</v>
      </c>
      <c r="E43" s="22" t="s">
        <v>400</v>
      </c>
      <c r="F43" s="18" t="s">
        <v>348</v>
      </c>
      <c r="G43" s="22" t="s">
        <v>401</v>
      </c>
      <c r="H43" s="20" t="s">
        <v>103</v>
      </c>
      <c r="I43" s="22" t="s">
        <v>66</v>
      </c>
      <c r="J43" s="22" t="s">
        <v>212</v>
      </c>
      <c r="K43" s="18" t="s">
        <v>26</v>
      </c>
      <c r="L43" s="22" t="s">
        <v>402</v>
      </c>
      <c r="M43" s="18" t="s">
        <v>403</v>
      </c>
      <c r="N43" s="18" t="s">
        <v>26</v>
      </c>
      <c r="O43" s="22" t="s">
        <v>404</v>
      </c>
      <c r="P43" s="32" t="s">
        <v>97</v>
      </c>
      <c r="Q43" s="22" t="s">
        <v>405</v>
      </c>
    </row>
  </sheetData>
  <autoFilter ref="A5:Q43" xr:uid="{00000000-0009-0000-0000-000002000000}"/>
  <conditionalFormatting sqref="P6:P43">
    <cfRule type="cellIs" dxfId="9" priority="1" operator="equal">
      <formula>"Implementado"</formula>
    </cfRule>
    <cfRule type="cellIs" dxfId="8" priority="2" operator="equal">
      <formula>"Parcial"</formula>
    </cfRule>
    <cfRule type="cellIs" dxfId="7" priority="3" operator="equal">
      <formula>"Pendiente"</formula>
    </cfRule>
  </conditionalFormatting>
  <dataValidations count="3">
    <dataValidation type="list" sqref="P6:P43" xr:uid="{00000000-0002-0000-0200-000000000000}">
      <formula1>"Implementado,Parcial,Pendiente"</formula1>
    </dataValidation>
    <dataValidation type="list" sqref="H6:H43" xr:uid="{00000000-0002-0000-0200-000001000000}">
      <formula1>"Alta,Media,Baja"</formula1>
    </dataValidation>
    <dataValidation type="list" sqref="F6:F43" xr:uid="{00000000-0002-0000-0200-000002000000}">
      <formula1>"Funcional,No funcional"</formula1>
    </dataValidation>
  </dataValidations>
  <pageMargins left="0.4" right="0.4" top="0.5" bottom="0.5" header="0.5" footer="0.5"/>
  <pageSetup paperSize="9" fitToHeight="0" orientation="landscape"/>
  <headerFooter>
    <oddFooter>&amp;C&amp;8 Toma de Requerimientos · Proyecto APT Inchcape · 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G47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8" customWidth="1"/>
    <col min="2" max="2" width="36" customWidth="1"/>
    <col min="3" max="56" width="3.44140625" customWidth="1"/>
    <col min="57" max="57" width="8" customWidth="1"/>
    <col min="58" max="58" width="9" customWidth="1"/>
    <col min="59" max="59" width="20" customWidth="1"/>
  </cols>
  <sheetData>
    <row r="1" spans="1:59" ht="24" customHeight="1" x14ac:dyDescent="0.4">
      <c r="A1" s="11" t="s">
        <v>406</v>
      </c>
    </row>
    <row r="2" spans="1:59" x14ac:dyDescent="0.3">
      <c r="A2" s="12" t="s">
        <v>407</v>
      </c>
    </row>
    <row r="3" spans="1:59" x14ac:dyDescent="0.3">
      <c r="A3" s="13" t="s">
        <v>408</v>
      </c>
    </row>
    <row r="5" spans="1:59" ht="61.95" customHeight="1" x14ac:dyDescent="0.3">
      <c r="A5" s="6" t="s">
        <v>70</v>
      </c>
      <c r="B5" s="6" t="s">
        <v>115</v>
      </c>
      <c r="C5" s="36" t="s">
        <v>134</v>
      </c>
      <c r="D5" s="36" t="s">
        <v>409</v>
      </c>
      <c r="E5" s="36" t="s">
        <v>410</v>
      </c>
      <c r="F5" s="36" t="s">
        <v>411</v>
      </c>
      <c r="G5" s="36" t="s">
        <v>412</v>
      </c>
      <c r="H5" s="36" t="s">
        <v>413</v>
      </c>
      <c r="I5" s="36" t="s">
        <v>414</v>
      </c>
      <c r="J5" s="36" t="s">
        <v>156</v>
      </c>
      <c r="K5" s="36" t="s">
        <v>162</v>
      </c>
      <c r="L5" s="36" t="s">
        <v>415</v>
      </c>
      <c r="M5" s="36" t="s">
        <v>416</v>
      </c>
      <c r="N5" s="36" t="s">
        <v>417</v>
      </c>
      <c r="O5" s="36" t="s">
        <v>418</v>
      </c>
      <c r="P5" s="36" t="s">
        <v>419</v>
      </c>
      <c r="Q5" s="36" t="s">
        <v>420</v>
      </c>
      <c r="R5" s="36" t="s">
        <v>421</v>
      </c>
      <c r="S5" s="36" t="s">
        <v>422</v>
      </c>
      <c r="T5" s="36" t="s">
        <v>193</v>
      </c>
      <c r="U5" s="37" t="s">
        <v>199</v>
      </c>
      <c r="V5" s="36" t="s">
        <v>206</v>
      </c>
      <c r="W5" s="37" t="s">
        <v>214</v>
      </c>
      <c r="X5" s="36" t="s">
        <v>222</v>
      </c>
      <c r="Y5" s="36" t="s">
        <v>229</v>
      </c>
      <c r="Z5" s="36" t="s">
        <v>236</v>
      </c>
      <c r="AA5" s="36" t="s">
        <v>423</v>
      </c>
      <c r="AB5" s="36" t="s">
        <v>424</v>
      </c>
      <c r="AC5" s="36" t="s">
        <v>425</v>
      </c>
      <c r="AD5" s="36" t="s">
        <v>250</v>
      </c>
      <c r="AE5" s="36" t="s">
        <v>257</v>
      </c>
      <c r="AF5" s="36" t="s">
        <v>187</v>
      </c>
      <c r="AG5" s="36" t="s">
        <v>171</v>
      </c>
      <c r="AH5" s="36" t="s">
        <v>271</v>
      </c>
      <c r="AI5" s="36" t="s">
        <v>278</v>
      </c>
      <c r="AJ5" s="36" t="s">
        <v>286</v>
      </c>
      <c r="AK5" s="36" t="s">
        <v>426</v>
      </c>
      <c r="AL5" s="36" t="s">
        <v>427</v>
      </c>
      <c r="AM5" s="36" t="s">
        <v>428</v>
      </c>
      <c r="AN5" s="36" t="s">
        <v>429</v>
      </c>
      <c r="AO5" s="36" t="s">
        <v>430</v>
      </c>
      <c r="AP5" s="36" t="s">
        <v>431</v>
      </c>
      <c r="AQ5" s="36" t="s">
        <v>432</v>
      </c>
      <c r="AR5" s="36" t="s">
        <v>215</v>
      </c>
      <c r="AS5" s="36" t="s">
        <v>243</v>
      </c>
      <c r="AT5" s="36" t="s">
        <v>163</v>
      </c>
      <c r="AU5" s="36" t="s">
        <v>336</v>
      </c>
      <c r="AV5" s="36" t="s">
        <v>342</v>
      </c>
      <c r="AW5" s="36" t="s">
        <v>351</v>
      </c>
      <c r="AX5" s="36" t="s">
        <v>357</v>
      </c>
      <c r="AY5" s="36" t="s">
        <v>365</v>
      </c>
      <c r="AZ5" s="36" t="s">
        <v>373</v>
      </c>
      <c r="BA5" s="36" t="s">
        <v>381</v>
      </c>
      <c r="BB5" s="36" t="s">
        <v>389</v>
      </c>
      <c r="BC5" s="36" t="s">
        <v>320</v>
      </c>
      <c r="BD5" s="37" t="s">
        <v>403</v>
      </c>
      <c r="BE5" s="6" t="s">
        <v>433</v>
      </c>
      <c r="BF5" s="6" t="s">
        <v>110</v>
      </c>
      <c r="BG5" s="6" t="s">
        <v>434</v>
      </c>
    </row>
    <row r="6" spans="1:59" ht="16.05" customHeight="1" x14ac:dyDescent="0.3">
      <c r="A6" s="38" t="s">
        <v>127</v>
      </c>
      <c r="B6" s="39" t="s">
        <v>128</v>
      </c>
      <c r="C6" s="40" t="s">
        <v>435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2"/>
      <c r="V6" s="41"/>
      <c r="W6" s="42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3" t="s">
        <v>436</v>
      </c>
      <c r="AT6" s="41"/>
      <c r="AU6" s="41"/>
      <c r="AV6" s="41"/>
      <c r="AW6" s="41"/>
      <c r="AX6" s="41"/>
      <c r="AY6" s="41"/>
      <c r="AZ6" s="41"/>
      <c r="BA6" s="41"/>
      <c r="BB6" s="43" t="s">
        <v>436</v>
      </c>
      <c r="BC6" s="41"/>
      <c r="BD6" s="42"/>
      <c r="BE6" s="7">
        <f t="shared" ref="BE6:BE43" si="0">COUNTIF(C6:BD6,"●")-((U6="●")+(W6="●")+(BD6="●"))</f>
        <v>1</v>
      </c>
      <c r="BF6" s="7">
        <f t="shared" ref="BF6:BF43" si="1">(U6="●")+(W6="●")+(BD6="●")</f>
        <v>0</v>
      </c>
      <c r="BG6" s="44" t="str">
        <f t="shared" ref="BG6:BG43" si="2">IF(BE6&gt;0,"Cubierto",IF(BF6&gt;0,"Con caso propuesto","Sin caso de prueba"))</f>
        <v>Cubierto</v>
      </c>
    </row>
    <row r="7" spans="1:59" ht="16.05" customHeight="1" x14ac:dyDescent="0.3">
      <c r="A7" s="38" t="s">
        <v>138</v>
      </c>
      <c r="B7" s="39" t="s">
        <v>139</v>
      </c>
      <c r="C7" s="41"/>
      <c r="D7" s="40" t="s">
        <v>435</v>
      </c>
      <c r="E7" s="40" t="s">
        <v>435</v>
      </c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2"/>
      <c r="V7" s="41"/>
      <c r="W7" s="42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2"/>
      <c r="BE7" s="7">
        <f t="shared" si="0"/>
        <v>2</v>
      </c>
      <c r="BF7" s="7">
        <f t="shared" si="1"/>
        <v>0</v>
      </c>
      <c r="BG7" s="44" t="str">
        <f t="shared" si="2"/>
        <v>Cubierto</v>
      </c>
    </row>
    <row r="8" spans="1:59" ht="16.05" customHeight="1" x14ac:dyDescent="0.3">
      <c r="A8" s="38" t="s">
        <v>146</v>
      </c>
      <c r="B8" s="39" t="s">
        <v>147</v>
      </c>
      <c r="C8" s="41"/>
      <c r="D8" s="41"/>
      <c r="E8" s="41"/>
      <c r="F8" s="40" t="s">
        <v>435</v>
      </c>
      <c r="G8" s="40" t="s">
        <v>435</v>
      </c>
      <c r="H8" s="40" t="s">
        <v>435</v>
      </c>
      <c r="I8" s="40" t="s">
        <v>435</v>
      </c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2"/>
      <c r="V8" s="41"/>
      <c r="W8" s="42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2"/>
      <c r="BE8" s="7">
        <f t="shared" si="0"/>
        <v>4</v>
      </c>
      <c r="BF8" s="7">
        <f t="shared" si="1"/>
        <v>0</v>
      </c>
      <c r="BG8" s="44" t="str">
        <f t="shared" si="2"/>
        <v>Cubierto</v>
      </c>
    </row>
    <row r="9" spans="1:59" ht="16.05" customHeight="1" x14ac:dyDescent="0.3">
      <c r="A9" s="38" t="s">
        <v>152</v>
      </c>
      <c r="B9" s="39" t="s">
        <v>153</v>
      </c>
      <c r="C9" s="41"/>
      <c r="D9" s="41"/>
      <c r="E9" s="41"/>
      <c r="F9" s="41"/>
      <c r="G9" s="41"/>
      <c r="H9" s="41"/>
      <c r="I9" s="41"/>
      <c r="J9" s="40" t="s">
        <v>435</v>
      </c>
      <c r="K9" s="41"/>
      <c r="L9" s="41"/>
      <c r="M9" s="41"/>
      <c r="N9" s="41"/>
      <c r="O9" s="41"/>
      <c r="P9" s="41"/>
      <c r="Q9" s="41"/>
      <c r="R9" s="41"/>
      <c r="S9" s="41"/>
      <c r="T9" s="41"/>
      <c r="U9" s="42"/>
      <c r="V9" s="41"/>
      <c r="W9" s="42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2"/>
      <c r="BE9" s="7">
        <f t="shared" si="0"/>
        <v>1</v>
      </c>
      <c r="BF9" s="7">
        <f t="shared" si="1"/>
        <v>0</v>
      </c>
      <c r="BG9" s="44" t="str">
        <f t="shared" si="2"/>
        <v>Cubierto</v>
      </c>
    </row>
    <row r="10" spans="1:59" ht="16.05" customHeight="1" x14ac:dyDescent="0.3">
      <c r="A10" s="38" t="s">
        <v>158</v>
      </c>
      <c r="B10" s="39" t="s">
        <v>159</v>
      </c>
      <c r="C10" s="41"/>
      <c r="D10" s="41"/>
      <c r="E10" s="41"/>
      <c r="F10" s="41"/>
      <c r="G10" s="41"/>
      <c r="H10" s="41"/>
      <c r="I10" s="41"/>
      <c r="J10" s="41"/>
      <c r="K10" s="40" t="s">
        <v>435</v>
      </c>
      <c r="L10" s="41"/>
      <c r="M10" s="41"/>
      <c r="N10" s="41"/>
      <c r="O10" s="41"/>
      <c r="P10" s="41"/>
      <c r="Q10" s="41"/>
      <c r="R10" s="41"/>
      <c r="S10" s="41"/>
      <c r="T10" s="41"/>
      <c r="U10" s="42"/>
      <c r="V10" s="41"/>
      <c r="W10" s="42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3" t="s">
        <v>436</v>
      </c>
      <c r="AU10" s="41"/>
      <c r="AV10" s="41"/>
      <c r="AW10" s="41"/>
      <c r="AX10" s="41"/>
      <c r="AY10" s="41"/>
      <c r="AZ10" s="41"/>
      <c r="BA10" s="41"/>
      <c r="BB10" s="41"/>
      <c r="BC10" s="41"/>
      <c r="BD10" s="42"/>
      <c r="BE10" s="7">
        <f t="shared" si="0"/>
        <v>1</v>
      </c>
      <c r="BF10" s="7">
        <f t="shared" si="1"/>
        <v>0</v>
      </c>
      <c r="BG10" s="44" t="str">
        <f t="shared" si="2"/>
        <v>Cubierto</v>
      </c>
    </row>
    <row r="11" spans="1:59" ht="16.05" customHeight="1" x14ac:dyDescent="0.3">
      <c r="A11" s="45" t="s">
        <v>166</v>
      </c>
      <c r="B11" s="46" t="s">
        <v>167</v>
      </c>
      <c r="C11" s="47"/>
      <c r="D11" s="47"/>
      <c r="E11" s="47"/>
      <c r="F11" s="47"/>
      <c r="G11" s="47"/>
      <c r="H11" s="47"/>
      <c r="I11" s="47"/>
      <c r="J11" s="47"/>
      <c r="K11" s="47"/>
      <c r="L11" s="48" t="s">
        <v>435</v>
      </c>
      <c r="M11" s="48" t="s">
        <v>435</v>
      </c>
      <c r="N11" s="48" t="s">
        <v>435</v>
      </c>
      <c r="O11" s="47"/>
      <c r="P11" s="47"/>
      <c r="Q11" s="47"/>
      <c r="R11" s="47"/>
      <c r="S11" s="47"/>
      <c r="T11" s="47"/>
      <c r="U11" s="49"/>
      <c r="V11" s="47"/>
      <c r="W11" s="49"/>
      <c r="X11" s="47"/>
      <c r="Y11" s="47"/>
      <c r="Z11" s="47"/>
      <c r="AA11" s="47"/>
      <c r="AB11" s="47"/>
      <c r="AC11" s="47"/>
      <c r="AD11" s="47"/>
      <c r="AE11" s="47"/>
      <c r="AF11" s="47"/>
      <c r="AG11" s="50" t="s">
        <v>436</v>
      </c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9"/>
      <c r="BE11" s="51">
        <f t="shared" si="0"/>
        <v>3</v>
      </c>
      <c r="BF11" s="51">
        <f t="shared" si="1"/>
        <v>0</v>
      </c>
      <c r="BG11" s="52" t="str">
        <f t="shared" si="2"/>
        <v>Cubierto</v>
      </c>
    </row>
    <row r="12" spans="1:59" ht="16.05" customHeight="1" x14ac:dyDescent="0.3">
      <c r="A12" s="53" t="s">
        <v>174</v>
      </c>
      <c r="B12" s="54" t="s">
        <v>175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0" t="s">
        <v>435</v>
      </c>
      <c r="P12" s="40" t="s">
        <v>435</v>
      </c>
      <c r="Q12" s="40" t="s">
        <v>435</v>
      </c>
      <c r="R12" s="41"/>
      <c r="S12" s="41"/>
      <c r="T12" s="41"/>
      <c r="U12" s="42"/>
      <c r="V12" s="41"/>
      <c r="W12" s="42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2"/>
      <c r="BE12" s="7">
        <f t="shared" si="0"/>
        <v>3</v>
      </c>
      <c r="BF12" s="7">
        <f t="shared" si="1"/>
        <v>0</v>
      </c>
      <c r="BG12" s="44" t="str">
        <f t="shared" si="2"/>
        <v>Cubierto</v>
      </c>
    </row>
    <row r="13" spans="1:59" ht="16.05" customHeight="1" x14ac:dyDescent="0.3">
      <c r="A13" s="53" t="s">
        <v>182</v>
      </c>
      <c r="B13" s="54" t="s">
        <v>183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0" t="s">
        <v>435</v>
      </c>
      <c r="S13" s="40" t="s">
        <v>435</v>
      </c>
      <c r="T13" s="41"/>
      <c r="U13" s="42"/>
      <c r="V13" s="41"/>
      <c r="W13" s="42"/>
      <c r="X13" s="41"/>
      <c r="Y13" s="41"/>
      <c r="Z13" s="41"/>
      <c r="AA13" s="41"/>
      <c r="AB13" s="41"/>
      <c r="AC13" s="41"/>
      <c r="AD13" s="41"/>
      <c r="AE13" s="41"/>
      <c r="AF13" s="43" t="s">
        <v>436</v>
      </c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2"/>
      <c r="BE13" s="7">
        <f t="shared" si="0"/>
        <v>2</v>
      </c>
      <c r="BF13" s="7">
        <f t="shared" si="1"/>
        <v>0</v>
      </c>
      <c r="BG13" s="44" t="str">
        <f t="shared" si="2"/>
        <v>Cubierto</v>
      </c>
    </row>
    <row r="14" spans="1:59" ht="16.05" customHeight="1" x14ac:dyDescent="0.3">
      <c r="A14" s="53" t="s">
        <v>189</v>
      </c>
      <c r="B14" s="54" t="s">
        <v>190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0" t="s">
        <v>435</v>
      </c>
      <c r="U14" s="42"/>
      <c r="V14" s="41"/>
      <c r="W14" s="42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2"/>
      <c r="BE14" s="7">
        <f t="shared" si="0"/>
        <v>1</v>
      </c>
      <c r="BF14" s="7">
        <f t="shared" si="1"/>
        <v>0</v>
      </c>
      <c r="BG14" s="44" t="str">
        <f t="shared" si="2"/>
        <v>Cubierto</v>
      </c>
    </row>
    <row r="15" spans="1:59" ht="16.05" customHeight="1" x14ac:dyDescent="0.3">
      <c r="A15" s="55" t="s">
        <v>195</v>
      </c>
      <c r="B15" s="56" t="s">
        <v>196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57" t="s">
        <v>435</v>
      </c>
      <c r="V15" s="47"/>
      <c r="W15" s="49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9"/>
      <c r="BE15" s="51">
        <f t="shared" si="0"/>
        <v>0</v>
      </c>
      <c r="BF15" s="51">
        <f t="shared" si="1"/>
        <v>1</v>
      </c>
      <c r="BG15" s="52" t="str">
        <f t="shared" si="2"/>
        <v>Con caso propuesto</v>
      </c>
    </row>
    <row r="16" spans="1:59" ht="16.05" customHeight="1" x14ac:dyDescent="0.3">
      <c r="A16" s="45" t="s">
        <v>202</v>
      </c>
      <c r="B16" s="46" t="s">
        <v>203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9"/>
      <c r="V16" s="48" t="s">
        <v>435</v>
      </c>
      <c r="W16" s="49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9"/>
      <c r="BE16" s="51">
        <f t="shared" si="0"/>
        <v>1</v>
      </c>
      <c r="BF16" s="51">
        <f t="shared" si="1"/>
        <v>0</v>
      </c>
      <c r="BG16" s="52" t="str">
        <f t="shared" si="2"/>
        <v>Cubierto</v>
      </c>
    </row>
    <row r="17" spans="1:59" ht="16.05" customHeight="1" x14ac:dyDescent="0.3">
      <c r="A17" s="53" t="s">
        <v>209</v>
      </c>
      <c r="B17" s="54" t="s">
        <v>210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2"/>
      <c r="V17" s="41"/>
      <c r="W17" s="58" t="s">
        <v>435</v>
      </c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3" t="s">
        <v>436</v>
      </c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2"/>
      <c r="BE17" s="7">
        <f t="shared" si="0"/>
        <v>0</v>
      </c>
      <c r="BF17" s="7">
        <f t="shared" si="1"/>
        <v>1</v>
      </c>
      <c r="BG17" s="44" t="str">
        <f t="shared" si="2"/>
        <v>Con caso propuesto</v>
      </c>
    </row>
    <row r="18" spans="1:59" ht="16.05" customHeight="1" x14ac:dyDescent="0.3">
      <c r="A18" s="55" t="s">
        <v>218</v>
      </c>
      <c r="B18" s="56" t="s">
        <v>219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9"/>
      <c r="V18" s="47"/>
      <c r="W18" s="49"/>
      <c r="X18" s="48" t="s">
        <v>435</v>
      </c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50" t="s">
        <v>436</v>
      </c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9"/>
      <c r="BE18" s="51">
        <f t="shared" si="0"/>
        <v>1</v>
      </c>
      <c r="BF18" s="51">
        <f t="shared" si="1"/>
        <v>0</v>
      </c>
      <c r="BG18" s="52" t="str">
        <f t="shared" si="2"/>
        <v>Cubierto</v>
      </c>
    </row>
    <row r="19" spans="1:59" ht="16.05" customHeight="1" x14ac:dyDescent="0.3">
      <c r="A19" s="38" t="s">
        <v>225</v>
      </c>
      <c r="B19" s="39" t="s">
        <v>226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2"/>
      <c r="V19" s="41"/>
      <c r="W19" s="42"/>
      <c r="X19" s="41"/>
      <c r="Y19" s="40" t="s">
        <v>435</v>
      </c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3" t="s">
        <v>436</v>
      </c>
      <c r="AS19" s="41"/>
      <c r="AT19" s="43" t="s">
        <v>436</v>
      </c>
      <c r="AU19" s="41"/>
      <c r="AV19" s="41"/>
      <c r="AW19" s="41"/>
      <c r="AX19" s="41"/>
      <c r="AY19" s="41"/>
      <c r="AZ19" s="41"/>
      <c r="BA19" s="41"/>
      <c r="BB19" s="41"/>
      <c r="BC19" s="41"/>
      <c r="BD19" s="42"/>
      <c r="BE19" s="7">
        <f t="shared" si="0"/>
        <v>1</v>
      </c>
      <c r="BF19" s="7">
        <f t="shared" si="1"/>
        <v>0</v>
      </c>
      <c r="BG19" s="44" t="str">
        <f t="shared" si="2"/>
        <v>Cubierto</v>
      </c>
    </row>
    <row r="20" spans="1:59" ht="16.05" customHeight="1" x14ac:dyDescent="0.3">
      <c r="A20" s="38" t="s">
        <v>232</v>
      </c>
      <c r="B20" s="39" t="s">
        <v>233</v>
      </c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2"/>
      <c r="V20" s="41"/>
      <c r="W20" s="42"/>
      <c r="X20" s="41"/>
      <c r="Y20" s="41"/>
      <c r="Z20" s="40" t="s">
        <v>435</v>
      </c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2"/>
      <c r="BE20" s="7">
        <f t="shared" si="0"/>
        <v>1</v>
      </c>
      <c r="BF20" s="7">
        <f t="shared" si="1"/>
        <v>0</v>
      </c>
      <c r="BG20" s="44" t="str">
        <f t="shared" si="2"/>
        <v>Cubierto</v>
      </c>
    </row>
    <row r="21" spans="1:59" ht="16.05" customHeight="1" x14ac:dyDescent="0.3">
      <c r="A21" s="45" t="s">
        <v>238</v>
      </c>
      <c r="B21" s="46" t="s">
        <v>239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9"/>
      <c r="V21" s="47"/>
      <c r="W21" s="49"/>
      <c r="X21" s="47"/>
      <c r="Y21" s="47"/>
      <c r="Z21" s="47"/>
      <c r="AA21" s="48" t="s">
        <v>435</v>
      </c>
      <c r="AB21" s="48" t="s">
        <v>435</v>
      </c>
      <c r="AC21" s="48" t="s">
        <v>435</v>
      </c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50" t="s">
        <v>436</v>
      </c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9"/>
      <c r="BE21" s="51">
        <f t="shared" si="0"/>
        <v>3</v>
      </c>
      <c r="BF21" s="51">
        <f t="shared" si="1"/>
        <v>0</v>
      </c>
      <c r="BG21" s="52" t="str">
        <f t="shared" si="2"/>
        <v>Cubierto</v>
      </c>
    </row>
    <row r="22" spans="1:59" ht="16.05" customHeight="1" x14ac:dyDescent="0.3">
      <c r="A22" s="53" t="s">
        <v>246</v>
      </c>
      <c r="B22" s="54" t="s">
        <v>247</v>
      </c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2"/>
      <c r="V22" s="41"/>
      <c r="W22" s="42"/>
      <c r="X22" s="41"/>
      <c r="Y22" s="41"/>
      <c r="Z22" s="41"/>
      <c r="AA22" s="41"/>
      <c r="AB22" s="41"/>
      <c r="AC22" s="41"/>
      <c r="AD22" s="40" t="s">
        <v>435</v>
      </c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2"/>
      <c r="BE22" s="7">
        <f t="shared" si="0"/>
        <v>1</v>
      </c>
      <c r="BF22" s="7">
        <f t="shared" si="1"/>
        <v>0</v>
      </c>
      <c r="BG22" s="44" t="str">
        <f t="shared" si="2"/>
        <v>Cubierto</v>
      </c>
    </row>
    <row r="23" spans="1:59" ht="16.05" customHeight="1" x14ac:dyDescent="0.3">
      <c r="A23" s="53" t="s">
        <v>253</v>
      </c>
      <c r="B23" s="54" t="s">
        <v>254</v>
      </c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2"/>
      <c r="V23" s="41"/>
      <c r="W23" s="42"/>
      <c r="X23" s="41"/>
      <c r="Y23" s="41"/>
      <c r="Z23" s="41"/>
      <c r="AA23" s="41"/>
      <c r="AB23" s="41"/>
      <c r="AC23" s="41"/>
      <c r="AD23" s="41"/>
      <c r="AE23" s="40" t="s">
        <v>435</v>
      </c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2"/>
      <c r="BE23" s="7">
        <f t="shared" si="0"/>
        <v>1</v>
      </c>
      <c r="BF23" s="7">
        <f t="shared" si="1"/>
        <v>0</v>
      </c>
      <c r="BG23" s="44" t="str">
        <f t="shared" si="2"/>
        <v>Cubierto</v>
      </c>
    </row>
    <row r="24" spans="1:59" ht="16.05" customHeight="1" x14ac:dyDescent="0.3">
      <c r="A24" s="53" t="s">
        <v>259</v>
      </c>
      <c r="B24" s="54" t="s">
        <v>260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2"/>
      <c r="V24" s="41"/>
      <c r="W24" s="42"/>
      <c r="X24" s="41"/>
      <c r="Y24" s="41"/>
      <c r="Z24" s="41"/>
      <c r="AA24" s="41"/>
      <c r="AB24" s="41"/>
      <c r="AC24" s="41"/>
      <c r="AD24" s="41"/>
      <c r="AE24" s="41"/>
      <c r="AF24" s="40" t="s">
        <v>435</v>
      </c>
      <c r="AG24" s="40" t="s">
        <v>435</v>
      </c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2"/>
      <c r="BE24" s="7">
        <f t="shared" si="0"/>
        <v>2</v>
      </c>
      <c r="BF24" s="7">
        <f t="shared" si="1"/>
        <v>0</v>
      </c>
      <c r="BG24" s="44" t="str">
        <f t="shared" si="2"/>
        <v>Cubierto</v>
      </c>
    </row>
    <row r="25" spans="1:59" ht="16.05" customHeight="1" x14ac:dyDescent="0.3">
      <c r="A25" s="53" t="s">
        <v>267</v>
      </c>
      <c r="B25" s="54" t="s">
        <v>268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2"/>
      <c r="V25" s="41"/>
      <c r="W25" s="42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0" t="s">
        <v>435</v>
      </c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2"/>
      <c r="BE25" s="7">
        <f t="shared" si="0"/>
        <v>1</v>
      </c>
      <c r="BF25" s="7">
        <f t="shared" si="1"/>
        <v>0</v>
      </c>
      <c r="BG25" s="44" t="str">
        <f t="shared" si="2"/>
        <v>Cubierto</v>
      </c>
    </row>
    <row r="26" spans="1:59" ht="16.05" customHeight="1" x14ac:dyDescent="0.3">
      <c r="A26" s="55" t="s">
        <v>274</v>
      </c>
      <c r="B26" s="56" t="s">
        <v>275</v>
      </c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9"/>
      <c r="V26" s="47"/>
      <c r="W26" s="49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8" t="s">
        <v>435</v>
      </c>
      <c r="AJ26" s="47"/>
      <c r="AK26" s="47"/>
      <c r="AL26" s="47"/>
      <c r="AM26" s="47"/>
      <c r="AN26" s="47"/>
      <c r="AO26" s="47"/>
      <c r="AP26" s="47"/>
      <c r="AQ26" s="47"/>
      <c r="AR26" s="47"/>
      <c r="AS26" s="50" t="s">
        <v>436</v>
      </c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9"/>
      <c r="BE26" s="51">
        <f t="shared" si="0"/>
        <v>1</v>
      </c>
      <c r="BF26" s="51">
        <f t="shared" si="1"/>
        <v>0</v>
      </c>
      <c r="BG26" s="52" t="str">
        <f t="shared" si="2"/>
        <v>Cubierto</v>
      </c>
    </row>
    <row r="27" spans="1:59" ht="16.05" customHeight="1" x14ac:dyDescent="0.3">
      <c r="A27" s="38" t="s">
        <v>281</v>
      </c>
      <c r="B27" s="39" t="s">
        <v>282</v>
      </c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2"/>
      <c r="V27" s="41"/>
      <c r="W27" s="42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0" t="s">
        <v>435</v>
      </c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2"/>
      <c r="BE27" s="7">
        <f t="shared" si="0"/>
        <v>1</v>
      </c>
      <c r="BF27" s="7">
        <f t="shared" si="1"/>
        <v>0</v>
      </c>
      <c r="BG27" s="44" t="str">
        <f t="shared" si="2"/>
        <v>Cubierto</v>
      </c>
    </row>
    <row r="28" spans="1:59" ht="16.05" customHeight="1" x14ac:dyDescent="0.3">
      <c r="A28" s="45" t="s">
        <v>288</v>
      </c>
      <c r="B28" s="46" t="s">
        <v>289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9"/>
      <c r="V28" s="47"/>
      <c r="W28" s="49"/>
      <c r="X28" s="47"/>
      <c r="Y28" s="47"/>
      <c r="Z28" s="47"/>
      <c r="AA28" s="47"/>
      <c r="AB28" s="47"/>
      <c r="AC28" s="47"/>
      <c r="AD28" s="47"/>
      <c r="AE28" s="47"/>
      <c r="AF28" s="47"/>
      <c r="AG28" s="50" t="s">
        <v>436</v>
      </c>
      <c r="AH28" s="47"/>
      <c r="AI28" s="47"/>
      <c r="AJ28" s="47"/>
      <c r="AK28" s="48" t="s">
        <v>435</v>
      </c>
      <c r="AL28" s="48" t="s">
        <v>435</v>
      </c>
      <c r="AM28" s="47"/>
      <c r="AN28" s="47"/>
      <c r="AO28" s="47"/>
      <c r="AP28" s="47"/>
      <c r="AQ28" s="47"/>
      <c r="AR28" s="47"/>
      <c r="AS28" s="50" t="s">
        <v>436</v>
      </c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9"/>
      <c r="BE28" s="51">
        <f t="shared" si="0"/>
        <v>2</v>
      </c>
      <c r="BF28" s="51">
        <f t="shared" si="1"/>
        <v>0</v>
      </c>
      <c r="BG28" s="52" t="str">
        <f t="shared" si="2"/>
        <v>Cubierto</v>
      </c>
    </row>
    <row r="29" spans="1:59" ht="16.05" customHeight="1" x14ac:dyDescent="0.3">
      <c r="A29" s="53" t="s">
        <v>296</v>
      </c>
      <c r="B29" s="54" t="s">
        <v>297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2"/>
      <c r="V29" s="41"/>
      <c r="W29" s="42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0" t="s">
        <v>435</v>
      </c>
      <c r="AN29" s="40" t="s">
        <v>435</v>
      </c>
      <c r="AO29" s="41"/>
      <c r="AP29" s="41"/>
      <c r="AQ29" s="41"/>
      <c r="AR29" s="41"/>
      <c r="AS29" s="43" t="s">
        <v>436</v>
      </c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2"/>
      <c r="BE29" s="7">
        <f t="shared" si="0"/>
        <v>2</v>
      </c>
      <c r="BF29" s="7">
        <f t="shared" si="1"/>
        <v>0</v>
      </c>
      <c r="BG29" s="44" t="str">
        <f t="shared" si="2"/>
        <v>Cubierto</v>
      </c>
    </row>
    <row r="30" spans="1:59" ht="16.05" customHeight="1" x14ac:dyDescent="0.3">
      <c r="A30" s="55" t="s">
        <v>303</v>
      </c>
      <c r="B30" s="56" t="s">
        <v>304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9"/>
      <c r="V30" s="47"/>
      <c r="W30" s="49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8" t="s">
        <v>435</v>
      </c>
      <c r="AP30" s="48" t="s">
        <v>435</v>
      </c>
      <c r="AQ30" s="48" t="s">
        <v>435</v>
      </c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9"/>
      <c r="BE30" s="51">
        <f t="shared" si="0"/>
        <v>3</v>
      </c>
      <c r="BF30" s="51">
        <f t="shared" si="1"/>
        <v>0</v>
      </c>
      <c r="BG30" s="52" t="str">
        <f t="shared" si="2"/>
        <v>Cubierto</v>
      </c>
    </row>
    <row r="31" spans="1:59" ht="16.05" customHeight="1" x14ac:dyDescent="0.3">
      <c r="A31" s="38" t="s">
        <v>310</v>
      </c>
      <c r="B31" s="39" t="s">
        <v>311</v>
      </c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2"/>
      <c r="V31" s="41"/>
      <c r="W31" s="42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0" t="s">
        <v>435</v>
      </c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2"/>
      <c r="BE31" s="7">
        <f t="shared" si="0"/>
        <v>1</v>
      </c>
      <c r="BF31" s="7">
        <f t="shared" si="1"/>
        <v>0</v>
      </c>
      <c r="BG31" s="44" t="str">
        <f t="shared" si="2"/>
        <v>Cubierto</v>
      </c>
    </row>
    <row r="32" spans="1:59" ht="16.05" customHeight="1" x14ac:dyDescent="0.3">
      <c r="A32" s="45" t="s">
        <v>316</v>
      </c>
      <c r="B32" s="46" t="s">
        <v>317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9"/>
      <c r="V32" s="47"/>
      <c r="W32" s="49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8" t="s">
        <v>435</v>
      </c>
      <c r="AT32" s="47"/>
      <c r="AU32" s="47"/>
      <c r="AV32" s="47"/>
      <c r="AW32" s="47"/>
      <c r="AX32" s="47"/>
      <c r="AY32" s="47"/>
      <c r="AZ32" s="47"/>
      <c r="BA32" s="47"/>
      <c r="BB32" s="47"/>
      <c r="BC32" s="50" t="s">
        <v>436</v>
      </c>
      <c r="BD32" s="49"/>
      <c r="BE32" s="51">
        <f t="shared" si="0"/>
        <v>1</v>
      </c>
      <c r="BF32" s="51">
        <f t="shared" si="1"/>
        <v>0</v>
      </c>
      <c r="BG32" s="52" t="str">
        <f t="shared" si="2"/>
        <v>Cubierto</v>
      </c>
    </row>
    <row r="33" spans="1:59" ht="16.05" customHeight="1" x14ac:dyDescent="0.3">
      <c r="A33" s="53" t="s">
        <v>323</v>
      </c>
      <c r="B33" s="54" t="s">
        <v>324</v>
      </c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2"/>
      <c r="V33" s="41"/>
      <c r="W33" s="42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0" t="s">
        <v>435</v>
      </c>
      <c r="AU33" s="41"/>
      <c r="AV33" s="41"/>
      <c r="AW33" s="41"/>
      <c r="AX33" s="41"/>
      <c r="AY33" s="41"/>
      <c r="AZ33" s="41"/>
      <c r="BA33" s="41"/>
      <c r="BB33" s="41"/>
      <c r="BC33" s="41"/>
      <c r="BD33" s="42"/>
      <c r="BE33" s="7">
        <f t="shared" si="0"/>
        <v>1</v>
      </c>
      <c r="BF33" s="7">
        <f t="shared" si="1"/>
        <v>0</v>
      </c>
      <c r="BG33" s="44" t="str">
        <f t="shared" si="2"/>
        <v>Cubierto</v>
      </c>
    </row>
    <row r="34" spans="1:59" ht="16.05" customHeight="1" x14ac:dyDescent="0.3">
      <c r="A34" s="55" t="s">
        <v>330</v>
      </c>
      <c r="B34" s="56" t="s">
        <v>331</v>
      </c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9"/>
      <c r="V34" s="47"/>
      <c r="W34" s="49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8" t="s">
        <v>435</v>
      </c>
      <c r="AV34" s="47"/>
      <c r="AW34" s="47"/>
      <c r="AX34" s="47"/>
      <c r="AY34" s="47"/>
      <c r="AZ34" s="47"/>
      <c r="BA34" s="47"/>
      <c r="BB34" s="47"/>
      <c r="BC34" s="47"/>
      <c r="BD34" s="49"/>
      <c r="BE34" s="51">
        <f t="shared" si="0"/>
        <v>1</v>
      </c>
      <c r="BF34" s="51">
        <f t="shared" si="1"/>
        <v>0</v>
      </c>
      <c r="BG34" s="52" t="str">
        <f t="shared" si="2"/>
        <v>Cubierto</v>
      </c>
    </row>
    <row r="35" spans="1:59" ht="16.05" customHeight="1" x14ac:dyDescent="0.3">
      <c r="A35" s="38" t="s">
        <v>338</v>
      </c>
      <c r="B35" s="39" t="s">
        <v>339</v>
      </c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2"/>
      <c r="V35" s="41"/>
      <c r="W35" s="42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0" t="s">
        <v>435</v>
      </c>
      <c r="AW35" s="41"/>
      <c r="AX35" s="41"/>
      <c r="AY35" s="41"/>
      <c r="AZ35" s="41"/>
      <c r="BA35" s="41"/>
      <c r="BB35" s="41"/>
      <c r="BC35" s="41"/>
      <c r="BD35" s="42"/>
      <c r="BE35" s="7">
        <f t="shared" si="0"/>
        <v>1</v>
      </c>
      <c r="BF35" s="7">
        <f t="shared" si="1"/>
        <v>0</v>
      </c>
      <c r="BG35" s="44" t="str">
        <f t="shared" si="2"/>
        <v>Cubierto</v>
      </c>
    </row>
    <row r="36" spans="1:59" ht="16.05" customHeight="1" x14ac:dyDescent="0.3">
      <c r="A36" s="45" t="s">
        <v>345</v>
      </c>
      <c r="B36" s="46" t="s">
        <v>346</v>
      </c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9"/>
      <c r="V36" s="47"/>
      <c r="W36" s="49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8" t="s">
        <v>435</v>
      </c>
      <c r="AX36" s="47"/>
      <c r="AY36" s="47"/>
      <c r="AZ36" s="47"/>
      <c r="BA36" s="47"/>
      <c r="BB36" s="47"/>
      <c r="BC36" s="47"/>
      <c r="BD36" s="49"/>
      <c r="BE36" s="51">
        <f t="shared" si="0"/>
        <v>1</v>
      </c>
      <c r="BF36" s="51">
        <f t="shared" si="1"/>
        <v>0</v>
      </c>
      <c r="BG36" s="52" t="str">
        <f t="shared" si="2"/>
        <v>Cubierto</v>
      </c>
    </row>
    <row r="37" spans="1:59" ht="16.05" customHeight="1" x14ac:dyDescent="0.3">
      <c r="A37" s="53" t="s">
        <v>353</v>
      </c>
      <c r="B37" s="54" t="s">
        <v>354</v>
      </c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2"/>
      <c r="V37" s="41"/>
      <c r="W37" s="42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0" t="s">
        <v>435</v>
      </c>
      <c r="AY37" s="41"/>
      <c r="AZ37" s="41"/>
      <c r="BA37" s="41"/>
      <c r="BB37" s="41"/>
      <c r="BC37" s="41"/>
      <c r="BD37" s="42"/>
      <c r="BE37" s="7">
        <f t="shared" si="0"/>
        <v>1</v>
      </c>
      <c r="BF37" s="7">
        <f t="shared" si="1"/>
        <v>0</v>
      </c>
      <c r="BG37" s="44" t="str">
        <f t="shared" si="2"/>
        <v>Cubierto</v>
      </c>
    </row>
    <row r="38" spans="1:59" ht="16.05" customHeight="1" x14ac:dyDescent="0.3">
      <c r="A38" s="53" t="s">
        <v>360</v>
      </c>
      <c r="B38" s="54" t="s">
        <v>361</v>
      </c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2"/>
      <c r="V38" s="41"/>
      <c r="W38" s="42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0" t="s">
        <v>435</v>
      </c>
      <c r="AZ38" s="41"/>
      <c r="BA38" s="41"/>
      <c r="BB38" s="41"/>
      <c r="BC38" s="41"/>
      <c r="BD38" s="42"/>
      <c r="BE38" s="7">
        <f t="shared" si="0"/>
        <v>1</v>
      </c>
      <c r="BF38" s="7">
        <f t="shared" si="1"/>
        <v>0</v>
      </c>
      <c r="BG38" s="44" t="str">
        <f t="shared" si="2"/>
        <v>Cubierto</v>
      </c>
    </row>
    <row r="39" spans="1:59" ht="16.05" customHeight="1" x14ac:dyDescent="0.3">
      <c r="A39" s="53" t="s">
        <v>368</v>
      </c>
      <c r="B39" s="54" t="s">
        <v>369</v>
      </c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2"/>
      <c r="V39" s="41"/>
      <c r="W39" s="42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0" t="s">
        <v>435</v>
      </c>
      <c r="BA39" s="41"/>
      <c r="BB39" s="41"/>
      <c r="BC39" s="41"/>
      <c r="BD39" s="42"/>
      <c r="BE39" s="7">
        <f t="shared" si="0"/>
        <v>1</v>
      </c>
      <c r="BF39" s="7">
        <f t="shared" si="1"/>
        <v>0</v>
      </c>
      <c r="BG39" s="44" t="str">
        <f t="shared" si="2"/>
        <v>Cubierto</v>
      </c>
    </row>
    <row r="40" spans="1:59" ht="16.05" customHeight="1" x14ac:dyDescent="0.3">
      <c r="A40" s="53" t="s">
        <v>376</v>
      </c>
      <c r="B40" s="54" t="s">
        <v>377</v>
      </c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2"/>
      <c r="V40" s="41"/>
      <c r="W40" s="42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0" t="s">
        <v>435</v>
      </c>
      <c r="BB40" s="41"/>
      <c r="BC40" s="41"/>
      <c r="BD40" s="42"/>
      <c r="BE40" s="7">
        <f t="shared" si="0"/>
        <v>1</v>
      </c>
      <c r="BF40" s="7">
        <f t="shared" si="1"/>
        <v>0</v>
      </c>
      <c r="BG40" s="44" t="str">
        <f t="shared" si="2"/>
        <v>Cubierto</v>
      </c>
    </row>
    <row r="41" spans="1:59" ht="16.05" customHeight="1" x14ac:dyDescent="0.3">
      <c r="A41" s="53" t="s">
        <v>384</v>
      </c>
      <c r="B41" s="54" t="s">
        <v>385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2"/>
      <c r="V41" s="41"/>
      <c r="W41" s="42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0" t="s">
        <v>435</v>
      </c>
      <c r="BC41" s="41"/>
      <c r="BD41" s="42"/>
      <c r="BE41" s="7">
        <f t="shared" si="0"/>
        <v>1</v>
      </c>
      <c r="BF41" s="7">
        <f t="shared" si="1"/>
        <v>0</v>
      </c>
      <c r="BG41" s="44" t="str">
        <f t="shared" si="2"/>
        <v>Cubierto</v>
      </c>
    </row>
    <row r="42" spans="1:59" ht="16.05" customHeight="1" x14ac:dyDescent="0.3">
      <c r="A42" s="53" t="s">
        <v>391</v>
      </c>
      <c r="B42" s="54" t="s">
        <v>392</v>
      </c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2"/>
      <c r="V42" s="41"/>
      <c r="W42" s="42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3" t="s">
        <v>436</v>
      </c>
      <c r="AO42" s="41"/>
      <c r="AP42" s="41"/>
      <c r="AQ42" s="43" t="s">
        <v>436</v>
      </c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0" t="s">
        <v>435</v>
      </c>
      <c r="BD42" s="42"/>
      <c r="BE42" s="7">
        <f t="shared" si="0"/>
        <v>1</v>
      </c>
      <c r="BF42" s="7">
        <f t="shared" si="1"/>
        <v>0</v>
      </c>
      <c r="BG42" s="44" t="str">
        <f t="shared" si="2"/>
        <v>Cubierto</v>
      </c>
    </row>
    <row r="43" spans="1:59" ht="16.05" customHeight="1" x14ac:dyDescent="0.3">
      <c r="A43" s="53" t="s">
        <v>398</v>
      </c>
      <c r="B43" s="54" t="s">
        <v>399</v>
      </c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2"/>
      <c r="V43" s="41"/>
      <c r="W43" s="42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58" t="s">
        <v>435</v>
      </c>
      <c r="BE43" s="7">
        <f t="shared" si="0"/>
        <v>0</v>
      </c>
      <c r="BF43" s="7">
        <f t="shared" si="1"/>
        <v>1</v>
      </c>
      <c r="BG43" s="44" t="str">
        <f t="shared" si="2"/>
        <v>Con caso propuesto</v>
      </c>
    </row>
    <row r="44" spans="1:59" x14ac:dyDescent="0.3">
      <c r="B44" s="59" t="s">
        <v>437</v>
      </c>
      <c r="C44" s="60">
        <f t="shared" ref="C44:AH44" si="3">COUNTIF(C6:C43,"●")</f>
        <v>1</v>
      </c>
      <c r="D44" s="60">
        <f t="shared" si="3"/>
        <v>1</v>
      </c>
      <c r="E44" s="60">
        <f t="shared" si="3"/>
        <v>1</v>
      </c>
      <c r="F44" s="60">
        <f t="shared" si="3"/>
        <v>1</v>
      </c>
      <c r="G44" s="60">
        <f t="shared" si="3"/>
        <v>1</v>
      </c>
      <c r="H44" s="60">
        <f t="shared" si="3"/>
        <v>1</v>
      </c>
      <c r="I44" s="60">
        <f t="shared" si="3"/>
        <v>1</v>
      </c>
      <c r="J44" s="60">
        <f t="shared" si="3"/>
        <v>1</v>
      </c>
      <c r="K44" s="60">
        <f t="shared" si="3"/>
        <v>1</v>
      </c>
      <c r="L44" s="60">
        <f t="shared" si="3"/>
        <v>1</v>
      </c>
      <c r="M44" s="60">
        <f t="shared" si="3"/>
        <v>1</v>
      </c>
      <c r="N44" s="60">
        <f t="shared" si="3"/>
        <v>1</v>
      </c>
      <c r="O44" s="60">
        <f t="shared" si="3"/>
        <v>1</v>
      </c>
      <c r="P44" s="60">
        <f t="shared" si="3"/>
        <v>1</v>
      </c>
      <c r="Q44" s="60">
        <f t="shared" si="3"/>
        <v>1</v>
      </c>
      <c r="R44" s="60">
        <f t="shared" si="3"/>
        <v>1</v>
      </c>
      <c r="S44" s="60">
        <f t="shared" si="3"/>
        <v>1</v>
      </c>
      <c r="T44" s="60">
        <f t="shared" si="3"/>
        <v>1</v>
      </c>
      <c r="U44" s="60">
        <f t="shared" si="3"/>
        <v>1</v>
      </c>
      <c r="V44" s="60">
        <f t="shared" si="3"/>
        <v>1</v>
      </c>
      <c r="W44" s="60">
        <f t="shared" si="3"/>
        <v>1</v>
      </c>
      <c r="X44" s="60">
        <f t="shared" si="3"/>
        <v>1</v>
      </c>
      <c r="Y44" s="60">
        <f t="shared" si="3"/>
        <v>1</v>
      </c>
      <c r="Z44" s="60">
        <f t="shared" si="3"/>
        <v>1</v>
      </c>
      <c r="AA44" s="60">
        <f t="shared" si="3"/>
        <v>1</v>
      </c>
      <c r="AB44" s="60">
        <f t="shared" si="3"/>
        <v>1</v>
      </c>
      <c r="AC44" s="60">
        <f t="shared" si="3"/>
        <v>1</v>
      </c>
      <c r="AD44" s="60">
        <f t="shared" si="3"/>
        <v>1</v>
      </c>
      <c r="AE44" s="60">
        <f t="shared" si="3"/>
        <v>1</v>
      </c>
      <c r="AF44" s="60">
        <f t="shared" si="3"/>
        <v>1</v>
      </c>
      <c r="AG44" s="60">
        <f t="shared" si="3"/>
        <v>1</v>
      </c>
      <c r="AH44" s="60">
        <f t="shared" si="3"/>
        <v>1</v>
      </c>
      <c r="AI44" s="60">
        <f t="shared" ref="AI44:BN44" si="4">COUNTIF(AI6:AI43,"●")</f>
        <v>1</v>
      </c>
      <c r="AJ44" s="60">
        <f t="shared" si="4"/>
        <v>1</v>
      </c>
      <c r="AK44" s="60">
        <f t="shared" si="4"/>
        <v>1</v>
      </c>
      <c r="AL44" s="60">
        <f t="shared" si="4"/>
        <v>1</v>
      </c>
      <c r="AM44" s="60">
        <f t="shared" si="4"/>
        <v>1</v>
      </c>
      <c r="AN44" s="60">
        <f t="shared" si="4"/>
        <v>1</v>
      </c>
      <c r="AO44" s="60">
        <f t="shared" si="4"/>
        <v>1</v>
      </c>
      <c r="AP44" s="60">
        <f t="shared" si="4"/>
        <v>1</v>
      </c>
      <c r="AQ44" s="60">
        <f t="shared" si="4"/>
        <v>1</v>
      </c>
      <c r="AR44" s="60">
        <f t="shared" si="4"/>
        <v>1</v>
      </c>
      <c r="AS44" s="60">
        <f t="shared" si="4"/>
        <v>1</v>
      </c>
      <c r="AT44" s="60">
        <f t="shared" si="4"/>
        <v>1</v>
      </c>
      <c r="AU44" s="60">
        <f t="shared" si="4"/>
        <v>1</v>
      </c>
      <c r="AV44" s="60">
        <f t="shared" si="4"/>
        <v>1</v>
      </c>
      <c r="AW44" s="60">
        <f t="shared" si="4"/>
        <v>1</v>
      </c>
      <c r="AX44" s="60">
        <f t="shared" si="4"/>
        <v>1</v>
      </c>
      <c r="AY44" s="60">
        <f t="shared" si="4"/>
        <v>1</v>
      </c>
      <c r="AZ44" s="60">
        <f t="shared" si="4"/>
        <v>1</v>
      </c>
      <c r="BA44" s="60">
        <f t="shared" si="4"/>
        <v>1</v>
      </c>
      <c r="BB44" s="60">
        <f t="shared" si="4"/>
        <v>1</v>
      </c>
      <c r="BC44" s="60">
        <f t="shared" si="4"/>
        <v>1</v>
      </c>
      <c r="BD44" s="60">
        <f t="shared" si="4"/>
        <v>1</v>
      </c>
    </row>
    <row r="45" spans="1:59" x14ac:dyDescent="0.3">
      <c r="B45" s="59" t="s">
        <v>438</v>
      </c>
      <c r="C45" s="60">
        <f t="shared" ref="C45:AH45" si="5">COUNTIF(C6:C43,"●")+COUNTIF(C6:C43,"○")</f>
        <v>1</v>
      </c>
      <c r="D45" s="60">
        <f t="shared" si="5"/>
        <v>1</v>
      </c>
      <c r="E45" s="60">
        <f t="shared" si="5"/>
        <v>1</v>
      </c>
      <c r="F45" s="60">
        <f t="shared" si="5"/>
        <v>1</v>
      </c>
      <c r="G45" s="60">
        <f t="shared" si="5"/>
        <v>1</v>
      </c>
      <c r="H45" s="60">
        <f t="shared" si="5"/>
        <v>1</v>
      </c>
      <c r="I45" s="60">
        <f t="shared" si="5"/>
        <v>1</v>
      </c>
      <c r="J45" s="60">
        <f t="shared" si="5"/>
        <v>1</v>
      </c>
      <c r="K45" s="60">
        <f t="shared" si="5"/>
        <v>1</v>
      </c>
      <c r="L45" s="60">
        <f t="shared" si="5"/>
        <v>1</v>
      </c>
      <c r="M45" s="60">
        <f t="shared" si="5"/>
        <v>1</v>
      </c>
      <c r="N45" s="60">
        <f t="shared" si="5"/>
        <v>1</v>
      </c>
      <c r="O45" s="60">
        <f t="shared" si="5"/>
        <v>1</v>
      </c>
      <c r="P45" s="60">
        <f t="shared" si="5"/>
        <v>1</v>
      </c>
      <c r="Q45" s="60">
        <f t="shared" si="5"/>
        <v>1</v>
      </c>
      <c r="R45" s="60">
        <f t="shared" si="5"/>
        <v>1</v>
      </c>
      <c r="S45" s="60">
        <f t="shared" si="5"/>
        <v>1</v>
      </c>
      <c r="T45" s="60">
        <f t="shared" si="5"/>
        <v>1</v>
      </c>
      <c r="U45" s="60">
        <f t="shared" si="5"/>
        <v>1</v>
      </c>
      <c r="V45" s="60">
        <f t="shared" si="5"/>
        <v>1</v>
      </c>
      <c r="W45" s="60">
        <f t="shared" si="5"/>
        <v>1</v>
      </c>
      <c r="X45" s="60">
        <f t="shared" si="5"/>
        <v>1</v>
      </c>
      <c r="Y45" s="60">
        <f t="shared" si="5"/>
        <v>1</v>
      </c>
      <c r="Z45" s="60">
        <f t="shared" si="5"/>
        <v>1</v>
      </c>
      <c r="AA45" s="60">
        <f t="shared" si="5"/>
        <v>1</v>
      </c>
      <c r="AB45" s="60">
        <f t="shared" si="5"/>
        <v>1</v>
      </c>
      <c r="AC45" s="60">
        <f t="shared" si="5"/>
        <v>1</v>
      </c>
      <c r="AD45" s="60">
        <f t="shared" si="5"/>
        <v>1</v>
      </c>
      <c r="AE45" s="60">
        <f t="shared" si="5"/>
        <v>1</v>
      </c>
      <c r="AF45" s="60">
        <f t="shared" si="5"/>
        <v>2</v>
      </c>
      <c r="AG45" s="60">
        <f t="shared" si="5"/>
        <v>3</v>
      </c>
      <c r="AH45" s="60">
        <f t="shared" si="5"/>
        <v>1</v>
      </c>
      <c r="AI45" s="60">
        <f t="shared" ref="AI45:BD45" si="6">COUNTIF(AI6:AI43,"●")+COUNTIF(AI6:AI43,"○")</f>
        <v>1</v>
      </c>
      <c r="AJ45" s="60">
        <f t="shared" si="6"/>
        <v>1</v>
      </c>
      <c r="AK45" s="60">
        <f t="shared" si="6"/>
        <v>1</v>
      </c>
      <c r="AL45" s="60">
        <f t="shared" si="6"/>
        <v>1</v>
      </c>
      <c r="AM45" s="60">
        <f t="shared" si="6"/>
        <v>1</v>
      </c>
      <c r="AN45" s="60">
        <f t="shared" si="6"/>
        <v>2</v>
      </c>
      <c r="AO45" s="60">
        <f t="shared" si="6"/>
        <v>1</v>
      </c>
      <c r="AP45" s="60">
        <f t="shared" si="6"/>
        <v>1</v>
      </c>
      <c r="AQ45" s="60">
        <f t="shared" si="6"/>
        <v>2</v>
      </c>
      <c r="AR45" s="60">
        <f t="shared" si="6"/>
        <v>4</v>
      </c>
      <c r="AS45" s="60">
        <f t="shared" si="6"/>
        <v>6</v>
      </c>
      <c r="AT45" s="60">
        <f t="shared" si="6"/>
        <v>3</v>
      </c>
      <c r="AU45" s="60">
        <f t="shared" si="6"/>
        <v>1</v>
      </c>
      <c r="AV45" s="60">
        <f t="shared" si="6"/>
        <v>1</v>
      </c>
      <c r="AW45" s="60">
        <f t="shared" si="6"/>
        <v>1</v>
      </c>
      <c r="AX45" s="60">
        <f t="shared" si="6"/>
        <v>1</v>
      </c>
      <c r="AY45" s="60">
        <f t="shared" si="6"/>
        <v>1</v>
      </c>
      <c r="AZ45" s="60">
        <f t="shared" si="6"/>
        <v>1</v>
      </c>
      <c r="BA45" s="60">
        <f t="shared" si="6"/>
        <v>1</v>
      </c>
      <c r="BB45" s="60">
        <f t="shared" si="6"/>
        <v>2</v>
      </c>
      <c r="BC45" s="60">
        <f t="shared" si="6"/>
        <v>2</v>
      </c>
      <c r="BD45" s="60">
        <f t="shared" si="6"/>
        <v>1</v>
      </c>
    </row>
    <row r="47" spans="1:59" x14ac:dyDescent="0.3">
      <c r="A47" s="13" t="s">
        <v>439</v>
      </c>
    </row>
  </sheetData>
  <conditionalFormatting sqref="C44:BD44">
    <cfRule type="cellIs" dxfId="6" priority="4" operator="notEqual">
      <formula>1</formula>
    </cfRule>
  </conditionalFormatting>
  <conditionalFormatting sqref="BG6:BG43">
    <cfRule type="cellIs" dxfId="5" priority="1" operator="equal">
      <formula>"Cubierto"</formula>
    </cfRule>
    <cfRule type="cellIs" dxfId="4" priority="2" operator="equal">
      <formula>"Con caso propuesto"</formula>
    </cfRule>
    <cfRule type="cellIs" dxfId="3" priority="3" operator="equal">
      <formula>"Sin caso de prueba"</formula>
    </cfRule>
  </conditionalFormatting>
  <pageMargins left="0.4" right="0.4" top="0.5" bottom="0.5" header="0.5" footer="0.5"/>
  <pageSetup paperSize="9" fitToHeight="0" orientation="landscape"/>
  <headerFooter>
    <oddFooter>&amp;C&amp;8 Toma de Requerimientos · Proyecto APT Inchcape · 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59"/>
  <sheetViews>
    <sheetView showGridLines="0" workbookViewId="0">
      <pane xSplit="6" ySplit="5" topLeftCell="G6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5" customWidth="1"/>
    <col min="2" max="2" width="17" customWidth="1"/>
    <col min="3" max="3" width="8" customWidth="1"/>
    <col min="4" max="4" width="26" customWidth="1"/>
    <col min="5" max="5" width="11" customWidth="1"/>
    <col min="6" max="6" width="34" customWidth="1"/>
    <col min="7" max="8" width="11" customWidth="1"/>
    <col min="9" max="9" width="15" customWidth="1"/>
    <col min="10" max="10" width="30" customWidth="1"/>
    <col min="11" max="11" width="28" customWidth="1"/>
    <col min="12" max="12" width="40" customWidth="1"/>
    <col min="13" max="13" width="38" customWidth="1"/>
    <col min="14" max="14" width="14" customWidth="1"/>
    <col min="15" max="15" width="12" customWidth="1"/>
    <col min="16" max="16" width="16" customWidth="1"/>
    <col min="17" max="17" width="11" customWidth="1"/>
  </cols>
  <sheetData>
    <row r="1" spans="1:17" ht="24" customHeight="1" x14ac:dyDescent="0.4">
      <c r="A1" s="11" t="s">
        <v>440</v>
      </c>
    </row>
    <row r="2" spans="1:17" x14ac:dyDescent="0.3">
      <c r="A2" s="12" t="s">
        <v>441</v>
      </c>
    </row>
    <row r="3" spans="1:17" x14ac:dyDescent="0.3">
      <c r="A3" s="13" t="s">
        <v>442</v>
      </c>
    </row>
    <row r="5" spans="1:17" ht="30" customHeight="1" x14ac:dyDescent="0.3">
      <c r="A5" s="6" t="s">
        <v>114</v>
      </c>
      <c r="B5" s="6" t="s">
        <v>21</v>
      </c>
      <c r="C5" s="6" t="s">
        <v>443</v>
      </c>
      <c r="D5" s="6" t="s">
        <v>115</v>
      </c>
      <c r="E5" s="6" t="s">
        <v>444</v>
      </c>
      <c r="F5" s="6" t="s">
        <v>445</v>
      </c>
      <c r="G5" s="6" t="s">
        <v>117</v>
      </c>
      <c r="H5" s="6" t="s">
        <v>446</v>
      </c>
      <c r="I5" s="6" t="s">
        <v>447</v>
      </c>
      <c r="J5" s="6" t="s">
        <v>448</v>
      </c>
      <c r="K5" s="6" t="s">
        <v>449</v>
      </c>
      <c r="L5" s="6" t="s">
        <v>450</v>
      </c>
      <c r="M5" s="6" t="s">
        <v>121</v>
      </c>
      <c r="N5" s="6" t="s">
        <v>451</v>
      </c>
      <c r="O5" s="6" t="s">
        <v>452</v>
      </c>
      <c r="P5" s="6" t="s">
        <v>453</v>
      </c>
      <c r="Q5" s="6" t="s">
        <v>72</v>
      </c>
    </row>
    <row r="6" spans="1:17" ht="43.8" customHeight="1" x14ac:dyDescent="0.3">
      <c r="A6" s="18">
        <v>1</v>
      </c>
      <c r="B6" s="19" t="s">
        <v>25</v>
      </c>
      <c r="C6" s="20" t="s">
        <v>127</v>
      </c>
      <c r="D6" s="22" t="s">
        <v>128</v>
      </c>
      <c r="E6" s="20" t="s">
        <v>134</v>
      </c>
      <c r="F6" s="21" t="s">
        <v>454</v>
      </c>
      <c r="G6" s="18" t="s">
        <v>130</v>
      </c>
      <c r="H6" s="18" t="s">
        <v>455</v>
      </c>
      <c r="I6" s="22" t="s">
        <v>456</v>
      </c>
      <c r="J6" s="22" t="s">
        <v>457</v>
      </c>
      <c r="K6" s="22" t="s">
        <v>458</v>
      </c>
      <c r="L6" s="22" t="s">
        <v>459</v>
      </c>
      <c r="M6" s="22" t="s">
        <v>460</v>
      </c>
      <c r="N6" s="18" t="s">
        <v>461</v>
      </c>
      <c r="O6" s="18" t="s">
        <v>462</v>
      </c>
      <c r="P6" s="22" t="s">
        <v>463</v>
      </c>
      <c r="Q6" s="18" t="s">
        <v>464</v>
      </c>
    </row>
    <row r="7" spans="1:17" ht="31.2" customHeight="1" x14ac:dyDescent="0.3">
      <c r="A7" s="61">
        <v>2</v>
      </c>
      <c r="B7" s="62" t="s">
        <v>25</v>
      </c>
      <c r="C7" s="63" t="s">
        <v>138</v>
      </c>
      <c r="D7" s="64" t="s">
        <v>139</v>
      </c>
      <c r="E7" s="63" t="s">
        <v>409</v>
      </c>
      <c r="F7" s="65" t="s">
        <v>465</v>
      </c>
      <c r="G7" s="61" t="s">
        <v>130</v>
      </c>
      <c r="H7" s="61" t="s">
        <v>455</v>
      </c>
      <c r="I7" s="64" t="s">
        <v>456</v>
      </c>
      <c r="J7" s="64" t="s">
        <v>466</v>
      </c>
      <c r="K7" s="64" t="s">
        <v>467</v>
      </c>
      <c r="L7" s="64" t="s">
        <v>468</v>
      </c>
      <c r="M7" s="64" t="s">
        <v>469</v>
      </c>
      <c r="N7" s="61" t="s">
        <v>461</v>
      </c>
      <c r="O7" s="61" t="s">
        <v>462</v>
      </c>
      <c r="P7" s="64" t="s">
        <v>463</v>
      </c>
      <c r="Q7" s="61" t="s">
        <v>464</v>
      </c>
    </row>
    <row r="8" spans="1:17" ht="31.2" customHeight="1" x14ac:dyDescent="0.3">
      <c r="A8" s="18">
        <v>3</v>
      </c>
      <c r="B8" s="19" t="s">
        <v>25</v>
      </c>
      <c r="C8" s="20" t="s">
        <v>138</v>
      </c>
      <c r="D8" s="22" t="s">
        <v>139</v>
      </c>
      <c r="E8" s="20" t="s">
        <v>410</v>
      </c>
      <c r="F8" s="21" t="s">
        <v>470</v>
      </c>
      <c r="G8" s="18" t="s">
        <v>130</v>
      </c>
      <c r="H8" s="18" t="s">
        <v>455</v>
      </c>
      <c r="I8" s="22" t="s">
        <v>456</v>
      </c>
      <c r="J8" s="22" t="s">
        <v>471</v>
      </c>
      <c r="K8" s="22" t="s">
        <v>472</v>
      </c>
      <c r="L8" s="22" t="s">
        <v>473</v>
      </c>
      <c r="M8" s="22" t="s">
        <v>474</v>
      </c>
      <c r="N8" s="18" t="s">
        <v>461</v>
      </c>
      <c r="O8" s="18" t="s">
        <v>462</v>
      </c>
      <c r="P8" s="22" t="s">
        <v>463</v>
      </c>
      <c r="Q8" s="18" t="s">
        <v>464</v>
      </c>
    </row>
    <row r="9" spans="1:17" ht="31.2" customHeight="1" x14ac:dyDescent="0.3">
      <c r="A9" s="61">
        <v>4</v>
      </c>
      <c r="B9" s="62" t="s">
        <v>25</v>
      </c>
      <c r="C9" s="63" t="s">
        <v>146</v>
      </c>
      <c r="D9" s="64" t="s">
        <v>147</v>
      </c>
      <c r="E9" s="63" t="s">
        <v>411</v>
      </c>
      <c r="F9" s="65" t="s">
        <v>475</v>
      </c>
      <c r="G9" s="61" t="s">
        <v>130</v>
      </c>
      <c r="H9" s="61" t="s">
        <v>455</v>
      </c>
      <c r="I9" s="64" t="s">
        <v>456</v>
      </c>
      <c r="J9" s="64" t="s">
        <v>476</v>
      </c>
      <c r="K9" s="64" t="s">
        <v>477</v>
      </c>
      <c r="L9" s="64" t="s">
        <v>478</v>
      </c>
      <c r="M9" s="64" t="s">
        <v>479</v>
      </c>
      <c r="N9" s="61" t="s">
        <v>461</v>
      </c>
      <c r="O9" s="61" t="s">
        <v>462</v>
      </c>
      <c r="P9" s="64" t="s">
        <v>463</v>
      </c>
      <c r="Q9" s="61" t="s">
        <v>464</v>
      </c>
    </row>
    <row r="10" spans="1:17" ht="43.8" customHeight="1" x14ac:dyDescent="0.3">
      <c r="A10" s="18">
        <v>5</v>
      </c>
      <c r="B10" s="19" t="s">
        <v>25</v>
      </c>
      <c r="C10" s="20" t="s">
        <v>146</v>
      </c>
      <c r="D10" s="22" t="s">
        <v>147</v>
      </c>
      <c r="E10" s="20" t="s">
        <v>412</v>
      </c>
      <c r="F10" s="21" t="s">
        <v>480</v>
      </c>
      <c r="G10" s="18" t="s">
        <v>130</v>
      </c>
      <c r="H10" s="18" t="s">
        <v>455</v>
      </c>
      <c r="I10" s="22" t="s">
        <v>456</v>
      </c>
      <c r="J10" s="22" t="s">
        <v>481</v>
      </c>
      <c r="K10" s="22" t="s">
        <v>482</v>
      </c>
      <c r="L10" s="22" t="s">
        <v>483</v>
      </c>
      <c r="M10" s="22" t="s">
        <v>484</v>
      </c>
      <c r="N10" s="18" t="s">
        <v>461</v>
      </c>
      <c r="O10" s="18" t="s">
        <v>462</v>
      </c>
      <c r="P10" s="22" t="s">
        <v>463</v>
      </c>
      <c r="Q10" s="18" t="s">
        <v>464</v>
      </c>
    </row>
    <row r="11" spans="1:17" ht="43.8" customHeight="1" x14ac:dyDescent="0.3">
      <c r="A11" s="18">
        <v>6</v>
      </c>
      <c r="B11" s="19" t="s">
        <v>25</v>
      </c>
      <c r="C11" s="20" t="s">
        <v>146</v>
      </c>
      <c r="D11" s="22" t="s">
        <v>147</v>
      </c>
      <c r="E11" s="20" t="s">
        <v>413</v>
      </c>
      <c r="F11" s="21" t="s">
        <v>485</v>
      </c>
      <c r="G11" s="18" t="s">
        <v>130</v>
      </c>
      <c r="H11" s="18" t="s">
        <v>486</v>
      </c>
      <c r="I11" s="22" t="s">
        <v>456</v>
      </c>
      <c r="J11" s="22" t="s">
        <v>487</v>
      </c>
      <c r="K11" s="22" t="s">
        <v>488</v>
      </c>
      <c r="L11" s="22" t="s">
        <v>489</v>
      </c>
      <c r="M11" s="22" t="s">
        <v>490</v>
      </c>
      <c r="N11" s="18" t="s">
        <v>461</v>
      </c>
      <c r="O11" s="18" t="s">
        <v>462</v>
      </c>
      <c r="P11" s="22" t="s">
        <v>463</v>
      </c>
      <c r="Q11" s="18" t="s">
        <v>464</v>
      </c>
    </row>
    <row r="12" spans="1:17" ht="43.8" customHeight="1" x14ac:dyDescent="0.3">
      <c r="A12" s="18">
        <v>7</v>
      </c>
      <c r="B12" s="19" t="s">
        <v>25</v>
      </c>
      <c r="C12" s="20" t="s">
        <v>146</v>
      </c>
      <c r="D12" s="22" t="s">
        <v>147</v>
      </c>
      <c r="E12" s="20" t="s">
        <v>414</v>
      </c>
      <c r="F12" s="21" t="s">
        <v>491</v>
      </c>
      <c r="G12" s="18" t="s">
        <v>130</v>
      </c>
      <c r="H12" s="18" t="s">
        <v>455</v>
      </c>
      <c r="I12" s="22" t="s">
        <v>456</v>
      </c>
      <c r="J12" s="22" t="s">
        <v>492</v>
      </c>
      <c r="K12" s="22" t="s">
        <v>493</v>
      </c>
      <c r="L12" s="22" t="s">
        <v>494</v>
      </c>
      <c r="M12" s="22" t="s">
        <v>495</v>
      </c>
      <c r="N12" s="18" t="s">
        <v>461</v>
      </c>
      <c r="O12" s="18" t="s">
        <v>462</v>
      </c>
      <c r="P12" s="22" t="s">
        <v>463</v>
      </c>
      <c r="Q12" s="18" t="s">
        <v>464</v>
      </c>
    </row>
    <row r="13" spans="1:17" ht="31.2" customHeight="1" x14ac:dyDescent="0.3">
      <c r="A13" s="61">
        <v>8</v>
      </c>
      <c r="B13" s="62" t="s">
        <v>25</v>
      </c>
      <c r="C13" s="63" t="s">
        <v>152</v>
      </c>
      <c r="D13" s="64" t="s">
        <v>153</v>
      </c>
      <c r="E13" s="63" t="s">
        <v>156</v>
      </c>
      <c r="F13" s="65" t="s">
        <v>496</v>
      </c>
      <c r="G13" s="61" t="s">
        <v>130</v>
      </c>
      <c r="H13" s="61" t="s">
        <v>455</v>
      </c>
      <c r="I13" s="64" t="s">
        <v>456</v>
      </c>
      <c r="J13" s="64" t="s">
        <v>497</v>
      </c>
      <c r="K13" s="64" t="s">
        <v>498</v>
      </c>
      <c r="L13" s="64" t="s">
        <v>499</v>
      </c>
      <c r="M13" s="64" t="s">
        <v>500</v>
      </c>
      <c r="N13" s="61" t="s">
        <v>501</v>
      </c>
      <c r="O13" s="61" t="s">
        <v>462</v>
      </c>
      <c r="P13" s="64" t="s">
        <v>463</v>
      </c>
      <c r="Q13" s="61" t="s">
        <v>464</v>
      </c>
    </row>
    <row r="14" spans="1:17" ht="43.8" customHeight="1" x14ac:dyDescent="0.3">
      <c r="A14" s="61">
        <v>9</v>
      </c>
      <c r="B14" s="62" t="s">
        <v>25</v>
      </c>
      <c r="C14" s="63" t="s">
        <v>158</v>
      </c>
      <c r="D14" s="64" t="s">
        <v>159</v>
      </c>
      <c r="E14" s="63" t="s">
        <v>162</v>
      </c>
      <c r="F14" s="65" t="s">
        <v>159</v>
      </c>
      <c r="G14" s="61" t="s">
        <v>130</v>
      </c>
      <c r="H14" s="61" t="s">
        <v>455</v>
      </c>
      <c r="I14" s="64" t="s">
        <v>456</v>
      </c>
      <c r="J14" s="64" t="s">
        <v>502</v>
      </c>
      <c r="K14" s="64" t="s">
        <v>458</v>
      </c>
      <c r="L14" s="64" t="s">
        <v>503</v>
      </c>
      <c r="M14" s="64" t="s">
        <v>504</v>
      </c>
      <c r="N14" s="61" t="s">
        <v>461</v>
      </c>
      <c r="O14" s="61" t="s">
        <v>462</v>
      </c>
      <c r="P14" s="64" t="s">
        <v>463</v>
      </c>
      <c r="Q14" s="61" t="s">
        <v>464</v>
      </c>
    </row>
    <row r="15" spans="1:17" ht="43.8" customHeight="1" x14ac:dyDescent="0.3">
      <c r="A15" s="25">
        <v>10</v>
      </c>
      <c r="B15" s="26" t="s">
        <v>27</v>
      </c>
      <c r="C15" s="27" t="s">
        <v>166</v>
      </c>
      <c r="D15" s="29" t="s">
        <v>167</v>
      </c>
      <c r="E15" s="27" t="s">
        <v>415</v>
      </c>
      <c r="F15" s="28" t="s">
        <v>505</v>
      </c>
      <c r="G15" s="25" t="s">
        <v>130</v>
      </c>
      <c r="H15" s="25" t="s">
        <v>486</v>
      </c>
      <c r="I15" s="29" t="s">
        <v>456</v>
      </c>
      <c r="J15" s="29" t="s">
        <v>506</v>
      </c>
      <c r="K15" s="29" t="s">
        <v>507</v>
      </c>
      <c r="L15" s="29" t="s">
        <v>508</v>
      </c>
      <c r="M15" s="29" t="s">
        <v>509</v>
      </c>
      <c r="N15" s="25" t="s">
        <v>461</v>
      </c>
      <c r="O15" s="25" t="s">
        <v>462</v>
      </c>
      <c r="P15" s="29" t="s">
        <v>463</v>
      </c>
      <c r="Q15" s="25" t="s">
        <v>464</v>
      </c>
    </row>
    <row r="16" spans="1:17" ht="31.2" customHeight="1" x14ac:dyDescent="0.3">
      <c r="A16" s="18">
        <v>11</v>
      </c>
      <c r="B16" s="31" t="s">
        <v>27</v>
      </c>
      <c r="C16" s="20" t="s">
        <v>166</v>
      </c>
      <c r="D16" s="22" t="s">
        <v>167</v>
      </c>
      <c r="E16" s="20" t="s">
        <v>416</v>
      </c>
      <c r="F16" s="21" t="s">
        <v>510</v>
      </c>
      <c r="G16" s="18" t="s">
        <v>130</v>
      </c>
      <c r="H16" s="18" t="s">
        <v>455</v>
      </c>
      <c r="I16" s="22" t="s">
        <v>456</v>
      </c>
      <c r="J16" s="22" t="s">
        <v>506</v>
      </c>
      <c r="K16" s="22" t="s">
        <v>511</v>
      </c>
      <c r="L16" s="22" t="s">
        <v>512</v>
      </c>
      <c r="M16" s="22" t="s">
        <v>513</v>
      </c>
      <c r="N16" s="18" t="s">
        <v>461</v>
      </c>
      <c r="O16" s="18" t="s">
        <v>462</v>
      </c>
      <c r="P16" s="22" t="s">
        <v>463</v>
      </c>
      <c r="Q16" s="18" t="s">
        <v>464</v>
      </c>
    </row>
    <row r="17" spans="1:17" ht="31.2" customHeight="1" x14ac:dyDescent="0.3">
      <c r="A17" s="18">
        <v>12</v>
      </c>
      <c r="B17" s="31" t="s">
        <v>27</v>
      </c>
      <c r="C17" s="20" t="s">
        <v>166</v>
      </c>
      <c r="D17" s="22" t="s">
        <v>167</v>
      </c>
      <c r="E17" s="20" t="s">
        <v>417</v>
      </c>
      <c r="F17" s="21" t="s">
        <v>514</v>
      </c>
      <c r="G17" s="18" t="s">
        <v>515</v>
      </c>
      <c r="H17" s="18" t="s">
        <v>516</v>
      </c>
      <c r="I17" s="22" t="s">
        <v>517</v>
      </c>
      <c r="J17" s="22" t="s">
        <v>518</v>
      </c>
      <c r="K17" s="22" t="s">
        <v>519</v>
      </c>
      <c r="L17" s="22" t="s">
        <v>520</v>
      </c>
      <c r="M17" s="22" t="s">
        <v>521</v>
      </c>
      <c r="N17" s="18" t="s">
        <v>461</v>
      </c>
      <c r="O17" s="18" t="s">
        <v>462</v>
      </c>
      <c r="P17" s="22" t="s">
        <v>522</v>
      </c>
      <c r="Q17" s="18" t="s">
        <v>464</v>
      </c>
    </row>
    <row r="18" spans="1:17" ht="31.2" customHeight="1" x14ac:dyDescent="0.3">
      <c r="A18" s="61">
        <v>13</v>
      </c>
      <c r="B18" s="66" t="s">
        <v>27</v>
      </c>
      <c r="C18" s="63" t="s">
        <v>174</v>
      </c>
      <c r="D18" s="64" t="s">
        <v>175</v>
      </c>
      <c r="E18" s="63" t="s">
        <v>418</v>
      </c>
      <c r="F18" s="65" t="s">
        <v>523</v>
      </c>
      <c r="G18" s="61" t="s">
        <v>130</v>
      </c>
      <c r="H18" s="61" t="s">
        <v>516</v>
      </c>
      <c r="I18" s="64" t="s">
        <v>517</v>
      </c>
      <c r="J18" s="64" t="s">
        <v>524</v>
      </c>
      <c r="K18" s="64" t="s">
        <v>525</v>
      </c>
      <c r="L18" s="64" t="s">
        <v>526</v>
      </c>
      <c r="M18" s="64" t="s">
        <v>527</v>
      </c>
      <c r="N18" s="61" t="s">
        <v>461</v>
      </c>
      <c r="O18" s="61" t="s">
        <v>462</v>
      </c>
      <c r="P18" s="64" t="s">
        <v>522</v>
      </c>
      <c r="Q18" s="61" t="s">
        <v>464</v>
      </c>
    </row>
    <row r="19" spans="1:17" ht="31.2" customHeight="1" x14ac:dyDescent="0.3">
      <c r="A19" s="18">
        <v>14</v>
      </c>
      <c r="B19" s="31" t="s">
        <v>27</v>
      </c>
      <c r="C19" s="20" t="s">
        <v>174</v>
      </c>
      <c r="D19" s="22" t="s">
        <v>175</v>
      </c>
      <c r="E19" s="20" t="s">
        <v>419</v>
      </c>
      <c r="F19" s="21" t="s">
        <v>528</v>
      </c>
      <c r="G19" s="18" t="s">
        <v>130</v>
      </c>
      <c r="H19" s="18" t="s">
        <v>516</v>
      </c>
      <c r="I19" s="22" t="s">
        <v>517</v>
      </c>
      <c r="J19" s="22" t="s">
        <v>529</v>
      </c>
      <c r="K19" s="22" t="s">
        <v>530</v>
      </c>
      <c r="L19" s="22" t="s">
        <v>531</v>
      </c>
      <c r="M19" s="22" t="s">
        <v>532</v>
      </c>
      <c r="N19" s="18" t="s">
        <v>461</v>
      </c>
      <c r="O19" s="18" t="s">
        <v>462</v>
      </c>
      <c r="P19" s="22" t="s">
        <v>522</v>
      </c>
      <c r="Q19" s="18" t="s">
        <v>464</v>
      </c>
    </row>
    <row r="20" spans="1:17" ht="31.2" customHeight="1" x14ac:dyDescent="0.3">
      <c r="A20" s="18">
        <v>15</v>
      </c>
      <c r="B20" s="31" t="s">
        <v>27</v>
      </c>
      <c r="C20" s="20" t="s">
        <v>174</v>
      </c>
      <c r="D20" s="22" t="s">
        <v>175</v>
      </c>
      <c r="E20" s="20" t="s">
        <v>420</v>
      </c>
      <c r="F20" s="21" t="s">
        <v>533</v>
      </c>
      <c r="G20" s="18" t="s">
        <v>130</v>
      </c>
      <c r="H20" s="18" t="s">
        <v>516</v>
      </c>
      <c r="I20" s="22" t="s">
        <v>517</v>
      </c>
      <c r="J20" s="22" t="s">
        <v>534</v>
      </c>
      <c r="K20" s="22" t="s">
        <v>535</v>
      </c>
      <c r="L20" s="22" t="s">
        <v>536</v>
      </c>
      <c r="M20" s="22" t="s">
        <v>537</v>
      </c>
      <c r="N20" s="18" t="s">
        <v>461</v>
      </c>
      <c r="O20" s="18" t="s">
        <v>462</v>
      </c>
      <c r="P20" s="22" t="s">
        <v>522</v>
      </c>
      <c r="Q20" s="18" t="s">
        <v>464</v>
      </c>
    </row>
    <row r="21" spans="1:17" ht="31.2" customHeight="1" x14ac:dyDescent="0.3">
      <c r="A21" s="61">
        <v>16</v>
      </c>
      <c r="B21" s="66" t="s">
        <v>27</v>
      </c>
      <c r="C21" s="63" t="s">
        <v>182</v>
      </c>
      <c r="D21" s="64" t="s">
        <v>183</v>
      </c>
      <c r="E21" s="63" t="s">
        <v>421</v>
      </c>
      <c r="F21" s="65" t="s">
        <v>538</v>
      </c>
      <c r="G21" s="61" t="s">
        <v>130</v>
      </c>
      <c r="H21" s="61" t="s">
        <v>486</v>
      </c>
      <c r="I21" s="64" t="s">
        <v>517</v>
      </c>
      <c r="J21" s="64" t="s">
        <v>539</v>
      </c>
      <c r="K21" s="64" t="s">
        <v>540</v>
      </c>
      <c r="L21" s="64" t="s">
        <v>541</v>
      </c>
      <c r="M21" s="64" t="s">
        <v>542</v>
      </c>
      <c r="N21" s="61" t="s">
        <v>461</v>
      </c>
      <c r="O21" s="61" t="s">
        <v>462</v>
      </c>
      <c r="P21" s="64" t="s">
        <v>522</v>
      </c>
      <c r="Q21" s="61" t="s">
        <v>464</v>
      </c>
    </row>
    <row r="22" spans="1:17" ht="31.2" customHeight="1" x14ac:dyDescent="0.3">
      <c r="A22" s="18">
        <v>17</v>
      </c>
      <c r="B22" s="31" t="s">
        <v>27</v>
      </c>
      <c r="C22" s="20" t="s">
        <v>182</v>
      </c>
      <c r="D22" s="22" t="s">
        <v>183</v>
      </c>
      <c r="E22" s="20" t="s">
        <v>422</v>
      </c>
      <c r="F22" s="21" t="s">
        <v>543</v>
      </c>
      <c r="G22" s="18" t="s">
        <v>130</v>
      </c>
      <c r="H22" s="18" t="s">
        <v>516</v>
      </c>
      <c r="I22" s="22" t="s">
        <v>517</v>
      </c>
      <c r="J22" s="22" t="s">
        <v>544</v>
      </c>
      <c r="K22" s="22" t="s">
        <v>545</v>
      </c>
      <c r="L22" s="22" t="s">
        <v>546</v>
      </c>
      <c r="M22" s="22" t="s">
        <v>547</v>
      </c>
      <c r="N22" s="18" t="s">
        <v>461</v>
      </c>
      <c r="O22" s="18" t="s">
        <v>462</v>
      </c>
      <c r="P22" s="22" t="s">
        <v>522</v>
      </c>
      <c r="Q22" s="18" t="s">
        <v>464</v>
      </c>
    </row>
    <row r="23" spans="1:17" ht="43.8" customHeight="1" x14ac:dyDescent="0.3">
      <c r="A23" s="61">
        <v>18</v>
      </c>
      <c r="B23" s="66" t="s">
        <v>27</v>
      </c>
      <c r="C23" s="63" t="s">
        <v>189</v>
      </c>
      <c r="D23" s="64" t="s">
        <v>190</v>
      </c>
      <c r="E23" s="63" t="s">
        <v>193</v>
      </c>
      <c r="F23" s="65" t="s">
        <v>548</v>
      </c>
      <c r="G23" s="61" t="s">
        <v>130</v>
      </c>
      <c r="H23" s="61" t="s">
        <v>516</v>
      </c>
      <c r="I23" s="64" t="s">
        <v>517</v>
      </c>
      <c r="J23" s="64" t="s">
        <v>549</v>
      </c>
      <c r="K23" s="64" t="s">
        <v>550</v>
      </c>
      <c r="L23" s="64" t="s">
        <v>551</v>
      </c>
      <c r="M23" s="64" t="s">
        <v>552</v>
      </c>
      <c r="N23" s="61" t="s">
        <v>461</v>
      </c>
      <c r="O23" s="61" t="s">
        <v>462</v>
      </c>
      <c r="P23" s="64" t="s">
        <v>522</v>
      </c>
      <c r="Q23" s="61" t="s">
        <v>464</v>
      </c>
    </row>
    <row r="24" spans="1:17" ht="56.4" customHeight="1" x14ac:dyDescent="0.3">
      <c r="A24" s="25">
        <v>19</v>
      </c>
      <c r="B24" s="33" t="s">
        <v>29</v>
      </c>
      <c r="C24" s="27" t="s">
        <v>195</v>
      </c>
      <c r="D24" s="29" t="s">
        <v>196</v>
      </c>
      <c r="E24" s="67" t="s">
        <v>199</v>
      </c>
      <c r="F24" s="28" t="s">
        <v>553</v>
      </c>
      <c r="G24" s="25" t="s">
        <v>130</v>
      </c>
      <c r="H24" s="25" t="s">
        <v>516</v>
      </c>
      <c r="I24" s="29" t="s">
        <v>554</v>
      </c>
      <c r="J24" s="29" t="s">
        <v>555</v>
      </c>
      <c r="K24" s="29" t="s">
        <v>556</v>
      </c>
      <c r="L24" s="29" t="s">
        <v>557</v>
      </c>
      <c r="M24" s="29" t="s">
        <v>558</v>
      </c>
      <c r="N24" s="25" t="s">
        <v>461</v>
      </c>
      <c r="O24" s="25" t="s">
        <v>462</v>
      </c>
      <c r="P24" s="29" t="s">
        <v>522</v>
      </c>
      <c r="Q24" s="34" t="s">
        <v>559</v>
      </c>
    </row>
    <row r="25" spans="1:17" ht="31.2" customHeight="1" x14ac:dyDescent="0.3">
      <c r="A25" s="25">
        <v>20</v>
      </c>
      <c r="B25" s="26" t="s">
        <v>31</v>
      </c>
      <c r="C25" s="27" t="s">
        <v>202</v>
      </c>
      <c r="D25" s="29" t="s">
        <v>203</v>
      </c>
      <c r="E25" s="27" t="s">
        <v>206</v>
      </c>
      <c r="F25" s="28" t="s">
        <v>560</v>
      </c>
      <c r="G25" s="25" t="s">
        <v>515</v>
      </c>
      <c r="H25" s="25" t="s">
        <v>516</v>
      </c>
      <c r="I25" s="29" t="s">
        <v>561</v>
      </c>
      <c r="J25" s="29" t="s">
        <v>562</v>
      </c>
      <c r="K25" s="29" t="s">
        <v>563</v>
      </c>
      <c r="L25" s="29" t="s">
        <v>564</v>
      </c>
      <c r="M25" s="29" t="s">
        <v>565</v>
      </c>
      <c r="N25" s="25" t="s">
        <v>461</v>
      </c>
      <c r="O25" s="25" t="s">
        <v>462</v>
      </c>
      <c r="P25" s="29" t="s">
        <v>522</v>
      </c>
      <c r="Q25" s="25" t="s">
        <v>464</v>
      </c>
    </row>
    <row r="26" spans="1:17" ht="43.8" customHeight="1" x14ac:dyDescent="0.3">
      <c r="A26" s="61">
        <v>21</v>
      </c>
      <c r="B26" s="66" t="s">
        <v>31</v>
      </c>
      <c r="C26" s="63" t="s">
        <v>209</v>
      </c>
      <c r="D26" s="64" t="s">
        <v>210</v>
      </c>
      <c r="E26" s="68" t="s">
        <v>214</v>
      </c>
      <c r="F26" s="65" t="s">
        <v>566</v>
      </c>
      <c r="G26" s="61" t="s">
        <v>515</v>
      </c>
      <c r="H26" s="61" t="s">
        <v>516</v>
      </c>
      <c r="I26" s="64" t="s">
        <v>561</v>
      </c>
      <c r="J26" s="64" t="s">
        <v>567</v>
      </c>
      <c r="K26" s="64" t="s">
        <v>568</v>
      </c>
      <c r="L26" s="64" t="s">
        <v>569</v>
      </c>
      <c r="M26" s="64" t="s">
        <v>213</v>
      </c>
      <c r="N26" s="61" t="s">
        <v>461</v>
      </c>
      <c r="O26" s="61" t="s">
        <v>462</v>
      </c>
      <c r="P26" s="64" t="s">
        <v>522</v>
      </c>
      <c r="Q26" s="69" t="s">
        <v>559</v>
      </c>
    </row>
    <row r="27" spans="1:17" ht="43.8" customHeight="1" x14ac:dyDescent="0.3">
      <c r="A27" s="25">
        <v>22</v>
      </c>
      <c r="B27" s="33" t="s">
        <v>32</v>
      </c>
      <c r="C27" s="27" t="s">
        <v>218</v>
      </c>
      <c r="D27" s="29" t="s">
        <v>219</v>
      </c>
      <c r="E27" s="27" t="s">
        <v>222</v>
      </c>
      <c r="F27" s="28" t="s">
        <v>570</v>
      </c>
      <c r="G27" s="25" t="s">
        <v>130</v>
      </c>
      <c r="H27" s="25" t="s">
        <v>486</v>
      </c>
      <c r="I27" s="29" t="s">
        <v>571</v>
      </c>
      <c r="J27" s="29" t="s">
        <v>572</v>
      </c>
      <c r="K27" s="29" t="s">
        <v>573</v>
      </c>
      <c r="L27" s="29" t="s">
        <v>574</v>
      </c>
      <c r="M27" s="29" t="s">
        <v>575</v>
      </c>
      <c r="N27" s="25" t="s">
        <v>461</v>
      </c>
      <c r="O27" s="25" t="s">
        <v>462</v>
      </c>
      <c r="P27" s="29" t="s">
        <v>522</v>
      </c>
      <c r="Q27" s="25" t="s">
        <v>464</v>
      </c>
    </row>
    <row r="28" spans="1:17" ht="56.4" customHeight="1" x14ac:dyDescent="0.3">
      <c r="A28" s="61">
        <v>23</v>
      </c>
      <c r="B28" s="62" t="s">
        <v>32</v>
      </c>
      <c r="C28" s="63" t="s">
        <v>225</v>
      </c>
      <c r="D28" s="64" t="s">
        <v>226</v>
      </c>
      <c r="E28" s="63" t="s">
        <v>229</v>
      </c>
      <c r="F28" s="65" t="s">
        <v>576</v>
      </c>
      <c r="G28" s="61" t="s">
        <v>130</v>
      </c>
      <c r="H28" s="61" t="s">
        <v>455</v>
      </c>
      <c r="I28" s="64" t="s">
        <v>571</v>
      </c>
      <c r="J28" s="64" t="s">
        <v>577</v>
      </c>
      <c r="K28" s="64" t="s">
        <v>578</v>
      </c>
      <c r="L28" s="64" t="s">
        <v>579</v>
      </c>
      <c r="M28" s="64" t="s">
        <v>580</v>
      </c>
      <c r="N28" s="61" t="s">
        <v>461</v>
      </c>
      <c r="O28" s="61" t="s">
        <v>462</v>
      </c>
      <c r="P28" s="64" t="s">
        <v>522</v>
      </c>
      <c r="Q28" s="61" t="s">
        <v>464</v>
      </c>
    </row>
    <row r="29" spans="1:17" ht="56.4" customHeight="1" x14ac:dyDescent="0.3">
      <c r="A29" s="61">
        <v>24</v>
      </c>
      <c r="B29" s="62" t="s">
        <v>32</v>
      </c>
      <c r="C29" s="63" t="s">
        <v>232</v>
      </c>
      <c r="D29" s="64" t="s">
        <v>233</v>
      </c>
      <c r="E29" s="63" t="s">
        <v>236</v>
      </c>
      <c r="F29" s="65" t="s">
        <v>581</v>
      </c>
      <c r="G29" s="61" t="s">
        <v>130</v>
      </c>
      <c r="H29" s="61" t="s">
        <v>455</v>
      </c>
      <c r="I29" s="64" t="s">
        <v>571</v>
      </c>
      <c r="J29" s="64" t="s">
        <v>582</v>
      </c>
      <c r="K29" s="64" t="s">
        <v>578</v>
      </c>
      <c r="L29" s="64" t="s">
        <v>583</v>
      </c>
      <c r="M29" s="64" t="s">
        <v>584</v>
      </c>
      <c r="N29" s="61" t="s">
        <v>501</v>
      </c>
      <c r="O29" s="61" t="s">
        <v>462</v>
      </c>
      <c r="P29" s="64" t="s">
        <v>522</v>
      </c>
      <c r="Q29" s="61" t="s">
        <v>464</v>
      </c>
    </row>
    <row r="30" spans="1:17" ht="31.2" customHeight="1" x14ac:dyDescent="0.3">
      <c r="A30" s="25">
        <v>25</v>
      </c>
      <c r="B30" s="26" t="s">
        <v>34</v>
      </c>
      <c r="C30" s="27" t="s">
        <v>238</v>
      </c>
      <c r="D30" s="29" t="s">
        <v>239</v>
      </c>
      <c r="E30" s="27" t="s">
        <v>423</v>
      </c>
      <c r="F30" s="28" t="s">
        <v>585</v>
      </c>
      <c r="G30" s="25" t="s">
        <v>130</v>
      </c>
      <c r="H30" s="25" t="s">
        <v>455</v>
      </c>
      <c r="I30" s="29" t="s">
        <v>586</v>
      </c>
      <c r="J30" s="29" t="s">
        <v>587</v>
      </c>
      <c r="K30" s="29" t="s">
        <v>588</v>
      </c>
      <c r="L30" s="29" t="s">
        <v>589</v>
      </c>
      <c r="M30" s="29" t="s">
        <v>590</v>
      </c>
      <c r="N30" s="25" t="s">
        <v>461</v>
      </c>
      <c r="O30" s="25" t="s">
        <v>462</v>
      </c>
      <c r="P30" s="29" t="s">
        <v>463</v>
      </c>
      <c r="Q30" s="25" t="s">
        <v>464</v>
      </c>
    </row>
    <row r="31" spans="1:17" ht="31.2" customHeight="1" x14ac:dyDescent="0.3">
      <c r="A31" s="18">
        <v>26</v>
      </c>
      <c r="B31" s="31" t="s">
        <v>34</v>
      </c>
      <c r="C31" s="20" t="s">
        <v>238</v>
      </c>
      <c r="D31" s="22" t="s">
        <v>239</v>
      </c>
      <c r="E31" s="20" t="s">
        <v>424</v>
      </c>
      <c r="F31" s="21" t="s">
        <v>591</v>
      </c>
      <c r="G31" s="18" t="s">
        <v>130</v>
      </c>
      <c r="H31" s="18" t="s">
        <v>455</v>
      </c>
      <c r="I31" s="22" t="s">
        <v>586</v>
      </c>
      <c r="J31" s="22" t="s">
        <v>587</v>
      </c>
      <c r="K31" s="22" t="s">
        <v>592</v>
      </c>
      <c r="L31" s="22" t="s">
        <v>593</v>
      </c>
      <c r="M31" s="22" t="s">
        <v>594</v>
      </c>
      <c r="N31" s="18" t="s">
        <v>461</v>
      </c>
      <c r="O31" s="18" t="s">
        <v>462</v>
      </c>
      <c r="P31" s="22" t="s">
        <v>463</v>
      </c>
      <c r="Q31" s="18" t="s">
        <v>464</v>
      </c>
    </row>
    <row r="32" spans="1:17" ht="31.2" customHeight="1" x14ac:dyDescent="0.3">
      <c r="A32" s="18">
        <v>27</v>
      </c>
      <c r="B32" s="31" t="s">
        <v>34</v>
      </c>
      <c r="C32" s="20" t="s">
        <v>238</v>
      </c>
      <c r="D32" s="22" t="s">
        <v>239</v>
      </c>
      <c r="E32" s="20" t="s">
        <v>425</v>
      </c>
      <c r="F32" s="21" t="s">
        <v>595</v>
      </c>
      <c r="G32" s="18" t="s">
        <v>130</v>
      </c>
      <c r="H32" s="18" t="s">
        <v>455</v>
      </c>
      <c r="I32" s="22" t="s">
        <v>586</v>
      </c>
      <c r="J32" s="22" t="s">
        <v>587</v>
      </c>
      <c r="K32" s="22" t="s">
        <v>596</v>
      </c>
      <c r="L32" s="22" t="s">
        <v>597</v>
      </c>
      <c r="M32" s="22" t="s">
        <v>598</v>
      </c>
      <c r="N32" s="18" t="s">
        <v>461</v>
      </c>
      <c r="O32" s="18" t="s">
        <v>462</v>
      </c>
      <c r="P32" s="22" t="s">
        <v>463</v>
      </c>
      <c r="Q32" s="18" t="s">
        <v>464</v>
      </c>
    </row>
    <row r="33" spans="1:17" ht="31.2" customHeight="1" x14ac:dyDescent="0.3">
      <c r="A33" s="61">
        <v>28</v>
      </c>
      <c r="B33" s="66" t="s">
        <v>34</v>
      </c>
      <c r="C33" s="63" t="s">
        <v>246</v>
      </c>
      <c r="D33" s="64" t="s">
        <v>247</v>
      </c>
      <c r="E33" s="63" t="s">
        <v>250</v>
      </c>
      <c r="F33" s="65" t="s">
        <v>599</v>
      </c>
      <c r="G33" s="61" t="s">
        <v>130</v>
      </c>
      <c r="H33" s="61" t="s">
        <v>455</v>
      </c>
      <c r="I33" s="64" t="s">
        <v>586</v>
      </c>
      <c r="J33" s="64" t="s">
        <v>600</v>
      </c>
      <c r="K33" s="64" t="s">
        <v>601</v>
      </c>
      <c r="L33" s="64" t="s">
        <v>602</v>
      </c>
      <c r="M33" s="64" t="s">
        <v>603</v>
      </c>
      <c r="N33" s="61" t="s">
        <v>461</v>
      </c>
      <c r="O33" s="61" t="s">
        <v>462</v>
      </c>
      <c r="P33" s="64" t="s">
        <v>463</v>
      </c>
      <c r="Q33" s="61" t="s">
        <v>464</v>
      </c>
    </row>
    <row r="34" spans="1:17" ht="31.2" customHeight="1" x14ac:dyDescent="0.3">
      <c r="A34" s="61">
        <v>29</v>
      </c>
      <c r="B34" s="66" t="s">
        <v>34</v>
      </c>
      <c r="C34" s="63" t="s">
        <v>253</v>
      </c>
      <c r="D34" s="64" t="s">
        <v>254</v>
      </c>
      <c r="E34" s="63" t="s">
        <v>257</v>
      </c>
      <c r="F34" s="65" t="s">
        <v>254</v>
      </c>
      <c r="G34" s="61" t="s">
        <v>130</v>
      </c>
      <c r="H34" s="61" t="s">
        <v>455</v>
      </c>
      <c r="I34" s="64" t="s">
        <v>586</v>
      </c>
      <c r="J34" s="64" t="s">
        <v>604</v>
      </c>
      <c r="K34" s="64" t="s">
        <v>605</v>
      </c>
      <c r="L34" s="64" t="s">
        <v>606</v>
      </c>
      <c r="M34" s="64" t="s">
        <v>607</v>
      </c>
      <c r="N34" s="61" t="s">
        <v>461</v>
      </c>
      <c r="O34" s="61" t="s">
        <v>462</v>
      </c>
      <c r="P34" s="64" t="s">
        <v>463</v>
      </c>
      <c r="Q34" s="61" t="s">
        <v>464</v>
      </c>
    </row>
    <row r="35" spans="1:17" ht="43.8" customHeight="1" x14ac:dyDescent="0.3">
      <c r="A35" s="61">
        <v>30</v>
      </c>
      <c r="B35" s="66" t="s">
        <v>34</v>
      </c>
      <c r="C35" s="63" t="s">
        <v>259</v>
      </c>
      <c r="D35" s="64" t="s">
        <v>260</v>
      </c>
      <c r="E35" s="63" t="s">
        <v>187</v>
      </c>
      <c r="F35" s="65" t="s">
        <v>608</v>
      </c>
      <c r="G35" s="61" t="s">
        <v>130</v>
      </c>
      <c r="H35" s="61" t="s">
        <v>486</v>
      </c>
      <c r="I35" s="64" t="s">
        <v>586</v>
      </c>
      <c r="J35" s="64" t="s">
        <v>609</v>
      </c>
      <c r="K35" s="64" t="s">
        <v>610</v>
      </c>
      <c r="L35" s="64" t="s">
        <v>611</v>
      </c>
      <c r="M35" s="64" t="s">
        <v>612</v>
      </c>
      <c r="N35" s="61" t="s">
        <v>461</v>
      </c>
      <c r="O35" s="61" t="s">
        <v>462</v>
      </c>
      <c r="P35" s="64" t="s">
        <v>463</v>
      </c>
      <c r="Q35" s="61" t="s">
        <v>464</v>
      </c>
    </row>
    <row r="36" spans="1:17" ht="43.8" customHeight="1" x14ac:dyDescent="0.3">
      <c r="A36" s="18">
        <v>31</v>
      </c>
      <c r="B36" s="31" t="s">
        <v>34</v>
      </c>
      <c r="C36" s="20" t="s">
        <v>259</v>
      </c>
      <c r="D36" s="22" t="s">
        <v>260</v>
      </c>
      <c r="E36" s="20" t="s">
        <v>171</v>
      </c>
      <c r="F36" s="21" t="s">
        <v>613</v>
      </c>
      <c r="G36" s="18" t="s">
        <v>614</v>
      </c>
      <c r="H36" s="18" t="s">
        <v>455</v>
      </c>
      <c r="I36" s="22" t="s">
        <v>46</v>
      </c>
      <c r="J36" s="22" t="s">
        <v>615</v>
      </c>
      <c r="K36" s="22" t="s">
        <v>610</v>
      </c>
      <c r="L36" s="22" t="s">
        <v>616</v>
      </c>
      <c r="M36" s="22" t="s">
        <v>617</v>
      </c>
      <c r="N36" s="18" t="s">
        <v>461</v>
      </c>
      <c r="O36" s="18" t="s">
        <v>462</v>
      </c>
      <c r="P36" s="22" t="s">
        <v>522</v>
      </c>
      <c r="Q36" s="18" t="s">
        <v>464</v>
      </c>
    </row>
    <row r="37" spans="1:17" ht="31.2" customHeight="1" x14ac:dyDescent="0.3">
      <c r="A37" s="61">
        <v>32</v>
      </c>
      <c r="B37" s="66" t="s">
        <v>34</v>
      </c>
      <c r="C37" s="63" t="s">
        <v>267</v>
      </c>
      <c r="D37" s="64" t="s">
        <v>268</v>
      </c>
      <c r="E37" s="63" t="s">
        <v>271</v>
      </c>
      <c r="F37" s="65" t="s">
        <v>618</v>
      </c>
      <c r="G37" s="61" t="s">
        <v>130</v>
      </c>
      <c r="H37" s="61" t="s">
        <v>516</v>
      </c>
      <c r="I37" s="64" t="s">
        <v>586</v>
      </c>
      <c r="J37" s="64" t="s">
        <v>619</v>
      </c>
      <c r="K37" s="64" t="s">
        <v>620</v>
      </c>
      <c r="L37" s="64" t="s">
        <v>621</v>
      </c>
      <c r="M37" s="64" t="s">
        <v>622</v>
      </c>
      <c r="N37" s="61" t="s">
        <v>461</v>
      </c>
      <c r="O37" s="61" t="s">
        <v>462</v>
      </c>
      <c r="P37" s="64" t="s">
        <v>463</v>
      </c>
      <c r="Q37" s="61" t="s">
        <v>464</v>
      </c>
    </row>
    <row r="38" spans="1:17" ht="31.2" customHeight="1" x14ac:dyDescent="0.3">
      <c r="A38" s="25">
        <v>33</v>
      </c>
      <c r="B38" s="33" t="s">
        <v>36</v>
      </c>
      <c r="C38" s="27" t="s">
        <v>274</v>
      </c>
      <c r="D38" s="29" t="s">
        <v>275</v>
      </c>
      <c r="E38" s="27" t="s">
        <v>278</v>
      </c>
      <c r="F38" s="28" t="s">
        <v>623</v>
      </c>
      <c r="G38" s="25" t="s">
        <v>130</v>
      </c>
      <c r="H38" s="25" t="s">
        <v>455</v>
      </c>
      <c r="I38" s="29" t="s">
        <v>624</v>
      </c>
      <c r="J38" s="29" t="s">
        <v>625</v>
      </c>
      <c r="K38" s="29" t="s">
        <v>626</v>
      </c>
      <c r="L38" s="29" t="s">
        <v>627</v>
      </c>
      <c r="M38" s="29" t="s">
        <v>628</v>
      </c>
      <c r="N38" s="25" t="s">
        <v>461</v>
      </c>
      <c r="O38" s="25" t="s">
        <v>462</v>
      </c>
      <c r="P38" s="29" t="s">
        <v>522</v>
      </c>
      <c r="Q38" s="25" t="s">
        <v>464</v>
      </c>
    </row>
    <row r="39" spans="1:17" ht="31.2" customHeight="1" x14ac:dyDescent="0.3">
      <c r="A39" s="61">
        <v>34</v>
      </c>
      <c r="B39" s="62" t="s">
        <v>36</v>
      </c>
      <c r="C39" s="63" t="s">
        <v>281</v>
      </c>
      <c r="D39" s="64" t="s">
        <v>282</v>
      </c>
      <c r="E39" s="63" t="s">
        <v>286</v>
      </c>
      <c r="F39" s="65" t="s">
        <v>629</v>
      </c>
      <c r="G39" s="61" t="s">
        <v>130</v>
      </c>
      <c r="H39" s="61" t="s">
        <v>486</v>
      </c>
      <c r="I39" s="64" t="s">
        <v>624</v>
      </c>
      <c r="J39" s="64" t="s">
        <v>630</v>
      </c>
      <c r="K39" s="64" t="s">
        <v>631</v>
      </c>
      <c r="L39" s="64" t="s">
        <v>632</v>
      </c>
      <c r="M39" s="64" t="s">
        <v>633</v>
      </c>
      <c r="N39" s="61" t="s">
        <v>461</v>
      </c>
      <c r="O39" s="61" t="s">
        <v>462</v>
      </c>
      <c r="P39" s="64" t="s">
        <v>522</v>
      </c>
      <c r="Q39" s="61" t="s">
        <v>464</v>
      </c>
    </row>
    <row r="40" spans="1:17" ht="31.2" customHeight="1" x14ac:dyDescent="0.3">
      <c r="A40" s="25">
        <v>35</v>
      </c>
      <c r="B40" s="26" t="s">
        <v>38</v>
      </c>
      <c r="C40" s="27" t="s">
        <v>288</v>
      </c>
      <c r="D40" s="29" t="s">
        <v>289</v>
      </c>
      <c r="E40" s="27" t="s">
        <v>426</v>
      </c>
      <c r="F40" s="28" t="s">
        <v>289</v>
      </c>
      <c r="G40" s="25" t="s">
        <v>130</v>
      </c>
      <c r="H40" s="25" t="s">
        <v>455</v>
      </c>
      <c r="I40" s="29" t="s">
        <v>634</v>
      </c>
      <c r="J40" s="29" t="s">
        <v>635</v>
      </c>
      <c r="K40" s="29" t="s">
        <v>636</v>
      </c>
      <c r="L40" s="29" t="s">
        <v>637</v>
      </c>
      <c r="M40" s="29" t="s">
        <v>638</v>
      </c>
      <c r="N40" s="25" t="s">
        <v>461</v>
      </c>
      <c r="O40" s="25" t="s">
        <v>462</v>
      </c>
      <c r="P40" s="29" t="s">
        <v>463</v>
      </c>
      <c r="Q40" s="25" t="s">
        <v>464</v>
      </c>
    </row>
    <row r="41" spans="1:17" ht="43.8" customHeight="1" x14ac:dyDescent="0.3">
      <c r="A41" s="18">
        <v>36</v>
      </c>
      <c r="B41" s="31" t="s">
        <v>38</v>
      </c>
      <c r="C41" s="20" t="s">
        <v>288</v>
      </c>
      <c r="D41" s="22" t="s">
        <v>289</v>
      </c>
      <c r="E41" s="20" t="s">
        <v>427</v>
      </c>
      <c r="F41" s="21" t="s">
        <v>639</v>
      </c>
      <c r="G41" s="18" t="s">
        <v>130</v>
      </c>
      <c r="H41" s="18" t="s">
        <v>455</v>
      </c>
      <c r="I41" s="22" t="s">
        <v>634</v>
      </c>
      <c r="J41" s="22" t="s">
        <v>640</v>
      </c>
      <c r="K41" s="22" t="s">
        <v>641</v>
      </c>
      <c r="L41" s="22" t="s">
        <v>642</v>
      </c>
      <c r="M41" s="22" t="s">
        <v>643</v>
      </c>
      <c r="N41" s="18" t="s">
        <v>501</v>
      </c>
      <c r="O41" s="18" t="s">
        <v>462</v>
      </c>
      <c r="P41" s="22" t="s">
        <v>463</v>
      </c>
      <c r="Q41" s="18" t="s">
        <v>464</v>
      </c>
    </row>
    <row r="42" spans="1:17" ht="43.8" customHeight="1" x14ac:dyDescent="0.3">
      <c r="A42" s="61">
        <v>37</v>
      </c>
      <c r="B42" s="66" t="s">
        <v>38</v>
      </c>
      <c r="C42" s="63" t="s">
        <v>296</v>
      </c>
      <c r="D42" s="64" t="s">
        <v>297</v>
      </c>
      <c r="E42" s="63" t="s">
        <v>428</v>
      </c>
      <c r="F42" s="65" t="s">
        <v>644</v>
      </c>
      <c r="G42" s="61" t="s">
        <v>130</v>
      </c>
      <c r="H42" s="61" t="s">
        <v>455</v>
      </c>
      <c r="I42" s="64" t="s">
        <v>634</v>
      </c>
      <c r="J42" s="64" t="s">
        <v>645</v>
      </c>
      <c r="K42" s="64" t="s">
        <v>646</v>
      </c>
      <c r="L42" s="64" t="s">
        <v>647</v>
      </c>
      <c r="M42" s="64" t="s">
        <v>648</v>
      </c>
      <c r="N42" s="61" t="s">
        <v>461</v>
      </c>
      <c r="O42" s="61" t="s">
        <v>462</v>
      </c>
      <c r="P42" s="64" t="s">
        <v>463</v>
      </c>
      <c r="Q42" s="61" t="s">
        <v>464</v>
      </c>
    </row>
    <row r="43" spans="1:17" ht="31.2" customHeight="1" x14ac:dyDescent="0.3">
      <c r="A43" s="18">
        <v>38</v>
      </c>
      <c r="B43" s="31" t="s">
        <v>38</v>
      </c>
      <c r="C43" s="20" t="s">
        <v>296</v>
      </c>
      <c r="D43" s="22" t="s">
        <v>297</v>
      </c>
      <c r="E43" s="20" t="s">
        <v>429</v>
      </c>
      <c r="F43" s="21" t="s">
        <v>649</v>
      </c>
      <c r="G43" s="18" t="s">
        <v>650</v>
      </c>
      <c r="H43" s="18" t="s">
        <v>455</v>
      </c>
      <c r="I43" s="22" t="s">
        <v>634</v>
      </c>
      <c r="J43" s="22" t="s">
        <v>651</v>
      </c>
      <c r="K43" s="22" t="s">
        <v>652</v>
      </c>
      <c r="L43" s="22" t="s">
        <v>653</v>
      </c>
      <c r="M43" s="22" t="s">
        <v>654</v>
      </c>
      <c r="N43" s="18" t="s">
        <v>501</v>
      </c>
      <c r="O43" s="18" t="s">
        <v>462</v>
      </c>
      <c r="P43" s="22" t="s">
        <v>463</v>
      </c>
      <c r="Q43" s="18" t="s">
        <v>464</v>
      </c>
    </row>
    <row r="44" spans="1:17" ht="31.2" customHeight="1" x14ac:dyDescent="0.3">
      <c r="A44" s="25">
        <v>39</v>
      </c>
      <c r="B44" s="33" t="s">
        <v>40</v>
      </c>
      <c r="C44" s="27" t="s">
        <v>303</v>
      </c>
      <c r="D44" s="29" t="s">
        <v>304</v>
      </c>
      <c r="E44" s="27" t="s">
        <v>430</v>
      </c>
      <c r="F44" s="28" t="s">
        <v>655</v>
      </c>
      <c r="G44" s="25" t="s">
        <v>130</v>
      </c>
      <c r="H44" s="25" t="s">
        <v>486</v>
      </c>
      <c r="I44" s="29" t="s">
        <v>656</v>
      </c>
      <c r="J44" s="29" t="s">
        <v>657</v>
      </c>
      <c r="K44" s="29" t="s">
        <v>658</v>
      </c>
      <c r="L44" s="29" t="s">
        <v>659</v>
      </c>
      <c r="M44" s="29" t="s">
        <v>660</v>
      </c>
      <c r="N44" s="25" t="s">
        <v>461</v>
      </c>
      <c r="O44" s="25" t="s">
        <v>462</v>
      </c>
      <c r="P44" s="29" t="s">
        <v>522</v>
      </c>
      <c r="Q44" s="25" t="s">
        <v>464</v>
      </c>
    </row>
    <row r="45" spans="1:17" ht="31.2" customHeight="1" x14ac:dyDescent="0.3">
      <c r="A45" s="18">
        <v>40</v>
      </c>
      <c r="B45" s="19" t="s">
        <v>40</v>
      </c>
      <c r="C45" s="20" t="s">
        <v>303</v>
      </c>
      <c r="D45" s="22" t="s">
        <v>304</v>
      </c>
      <c r="E45" s="20" t="s">
        <v>431</v>
      </c>
      <c r="F45" s="21" t="s">
        <v>661</v>
      </c>
      <c r="G45" s="18" t="s">
        <v>130</v>
      </c>
      <c r="H45" s="18" t="s">
        <v>455</v>
      </c>
      <c r="I45" s="22" t="s">
        <v>656</v>
      </c>
      <c r="J45" s="22" t="s">
        <v>662</v>
      </c>
      <c r="K45" s="22" t="s">
        <v>663</v>
      </c>
      <c r="L45" s="22" t="s">
        <v>664</v>
      </c>
      <c r="M45" s="22" t="s">
        <v>665</v>
      </c>
      <c r="N45" s="18" t="s">
        <v>501</v>
      </c>
      <c r="O45" s="18" t="s">
        <v>462</v>
      </c>
      <c r="P45" s="22" t="s">
        <v>522</v>
      </c>
      <c r="Q45" s="18" t="s">
        <v>464</v>
      </c>
    </row>
    <row r="46" spans="1:17" ht="31.2" customHeight="1" x14ac:dyDescent="0.3">
      <c r="A46" s="18">
        <v>41</v>
      </c>
      <c r="B46" s="19" t="s">
        <v>40</v>
      </c>
      <c r="C46" s="20" t="s">
        <v>303</v>
      </c>
      <c r="D46" s="22" t="s">
        <v>304</v>
      </c>
      <c r="E46" s="20" t="s">
        <v>432</v>
      </c>
      <c r="F46" s="21" t="s">
        <v>666</v>
      </c>
      <c r="G46" s="18" t="s">
        <v>650</v>
      </c>
      <c r="H46" s="18" t="s">
        <v>455</v>
      </c>
      <c r="I46" s="22" t="s">
        <v>656</v>
      </c>
      <c r="J46" s="22" t="s">
        <v>667</v>
      </c>
      <c r="K46" s="22" t="s">
        <v>668</v>
      </c>
      <c r="L46" s="22" t="s">
        <v>669</v>
      </c>
      <c r="M46" s="22" t="s">
        <v>670</v>
      </c>
      <c r="N46" s="18" t="s">
        <v>501</v>
      </c>
      <c r="O46" s="18" t="s">
        <v>462</v>
      </c>
      <c r="P46" s="22" t="s">
        <v>522</v>
      </c>
      <c r="Q46" s="18" t="s">
        <v>464</v>
      </c>
    </row>
    <row r="47" spans="1:17" ht="31.2" customHeight="1" x14ac:dyDescent="0.3">
      <c r="A47" s="61">
        <v>42</v>
      </c>
      <c r="B47" s="62" t="s">
        <v>40</v>
      </c>
      <c r="C47" s="63" t="s">
        <v>310</v>
      </c>
      <c r="D47" s="64" t="s">
        <v>311</v>
      </c>
      <c r="E47" s="63" t="s">
        <v>215</v>
      </c>
      <c r="F47" s="65" t="s">
        <v>671</v>
      </c>
      <c r="G47" s="61" t="s">
        <v>614</v>
      </c>
      <c r="H47" s="61" t="s">
        <v>486</v>
      </c>
      <c r="I47" s="64" t="s">
        <v>46</v>
      </c>
      <c r="J47" s="64" t="s">
        <v>672</v>
      </c>
      <c r="K47" s="64" t="s">
        <v>673</v>
      </c>
      <c r="L47" s="64" t="s">
        <v>674</v>
      </c>
      <c r="M47" s="64" t="s">
        <v>675</v>
      </c>
      <c r="N47" s="61" t="s">
        <v>501</v>
      </c>
      <c r="O47" s="61" t="s">
        <v>462</v>
      </c>
      <c r="P47" s="64" t="s">
        <v>522</v>
      </c>
      <c r="Q47" s="61" t="s">
        <v>464</v>
      </c>
    </row>
    <row r="48" spans="1:17" ht="43.8" customHeight="1" x14ac:dyDescent="0.3">
      <c r="A48" s="25">
        <v>43</v>
      </c>
      <c r="B48" s="26" t="s">
        <v>42</v>
      </c>
      <c r="C48" s="27" t="s">
        <v>316</v>
      </c>
      <c r="D48" s="29" t="s">
        <v>317</v>
      </c>
      <c r="E48" s="27" t="s">
        <v>243</v>
      </c>
      <c r="F48" s="28" t="s">
        <v>676</v>
      </c>
      <c r="G48" s="25" t="s">
        <v>614</v>
      </c>
      <c r="H48" s="25" t="s">
        <v>455</v>
      </c>
      <c r="I48" s="29" t="s">
        <v>46</v>
      </c>
      <c r="J48" s="29" t="s">
        <v>677</v>
      </c>
      <c r="K48" s="29" t="s">
        <v>458</v>
      </c>
      <c r="L48" s="29" t="s">
        <v>678</v>
      </c>
      <c r="M48" s="29" t="s">
        <v>679</v>
      </c>
      <c r="N48" s="25" t="s">
        <v>461</v>
      </c>
      <c r="O48" s="25" t="s">
        <v>462</v>
      </c>
      <c r="P48" s="29" t="s">
        <v>463</v>
      </c>
      <c r="Q48" s="25" t="s">
        <v>464</v>
      </c>
    </row>
    <row r="49" spans="1:17" ht="43.8" customHeight="1" x14ac:dyDescent="0.3">
      <c r="A49" s="61">
        <v>44</v>
      </c>
      <c r="B49" s="66" t="s">
        <v>42</v>
      </c>
      <c r="C49" s="63" t="s">
        <v>323</v>
      </c>
      <c r="D49" s="64" t="s">
        <v>324</v>
      </c>
      <c r="E49" s="63" t="s">
        <v>163</v>
      </c>
      <c r="F49" s="65" t="s">
        <v>680</v>
      </c>
      <c r="G49" s="61" t="s">
        <v>614</v>
      </c>
      <c r="H49" s="61" t="s">
        <v>455</v>
      </c>
      <c r="I49" s="64" t="s">
        <v>46</v>
      </c>
      <c r="J49" s="64" t="s">
        <v>681</v>
      </c>
      <c r="K49" s="64" t="s">
        <v>682</v>
      </c>
      <c r="L49" s="64" t="s">
        <v>683</v>
      </c>
      <c r="M49" s="64" t="s">
        <v>684</v>
      </c>
      <c r="N49" s="61" t="s">
        <v>501</v>
      </c>
      <c r="O49" s="61" t="s">
        <v>462</v>
      </c>
      <c r="P49" s="64" t="s">
        <v>463</v>
      </c>
      <c r="Q49" s="61" t="s">
        <v>464</v>
      </c>
    </row>
    <row r="50" spans="1:17" ht="31.2" customHeight="1" x14ac:dyDescent="0.3">
      <c r="A50" s="25">
        <v>45</v>
      </c>
      <c r="B50" s="33" t="s">
        <v>44</v>
      </c>
      <c r="C50" s="27" t="s">
        <v>330</v>
      </c>
      <c r="D50" s="29" t="s">
        <v>331</v>
      </c>
      <c r="E50" s="27" t="s">
        <v>336</v>
      </c>
      <c r="F50" s="28" t="s">
        <v>685</v>
      </c>
      <c r="G50" s="25" t="s">
        <v>130</v>
      </c>
      <c r="H50" s="25" t="s">
        <v>455</v>
      </c>
      <c r="I50" s="29" t="s">
        <v>333</v>
      </c>
      <c r="J50" s="29" t="s">
        <v>686</v>
      </c>
      <c r="K50" s="29" t="s">
        <v>687</v>
      </c>
      <c r="L50" s="29" t="s">
        <v>688</v>
      </c>
      <c r="M50" s="29" t="s">
        <v>689</v>
      </c>
      <c r="N50" s="25" t="s">
        <v>461</v>
      </c>
      <c r="O50" s="25" t="s">
        <v>462</v>
      </c>
      <c r="P50" s="29" t="s">
        <v>463</v>
      </c>
      <c r="Q50" s="25" t="s">
        <v>464</v>
      </c>
    </row>
    <row r="51" spans="1:17" ht="31.2" customHeight="1" x14ac:dyDescent="0.3">
      <c r="A51" s="61">
        <v>46</v>
      </c>
      <c r="B51" s="62" t="s">
        <v>44</v>
      </c>
      <c r="C51" s="63" t="s">
        <v>338</v>
      </c>
      <c r="D51" s="64" t="s">
        <v>339</v>
      </c>
      <c r="E51" s="63" t="s">
        <v>342</v>
      </c>
      <c r="F51" s="65" t="s">
        <v>690</v>
      </c>
      <c r="G51" s="61" t="s">
        <v>130</v>
      </c>
      <c r="H51" s="61" t="s">
        <v>455</v>
      </c>
      <c r="I51" s="64" t="s">
        <v>333</v>
      </c>
      <c r="J51" s="64" t="s">
        <v>691</v>
      </c>
      <c r="K51" s="64" t="s">
        <v>692</v>
      </c>
      <c r="L51" s="64" t="s">
        <v>693</v>
      </c>
      <c r="M51" s="64" t="s">
        <v>694</v>
      </c>
      <c r="N51" s="61" t="s">
        <v>461</v>
      </c>
      <c r="O51" s="61" t="s">
        <v>462</v>
      </c>
      <c r="P51" s="64" t="s">
        <v>463</v>
      </c>
      <c r="Q51" s="61" t="s">
        <v>464</v>
      </c>
    </row>
    <row r="52" spans="1:17" ht="31.2" customHeight="1" x14ac:dyDescent="0.3">
      <c r="A52" s="25">
        <v>47</v>
      </c>
      <c r="B52" s="26" t="s">
        <v>45</v>
      </c>
      <c r="C52" s="27" t="s">
        <v>345</v>
      </c>
      <c r="D52" s="29" t="s">
        <v>346</v>
      </c>
      <c r="E52" s="27" t="s">
        <v>351</v>
      </c>
      <c r="F52" s="28" t="s">
        <v>695</v>
      </c>
      <c r="G52" s="25" t="s">
        <v>696</v>
      </c>
      <c r="H52" s="25" t="s">
        <v>455</v>
      </c>
      <c r="I52" s="29" t="s">
        <v>586</v>
      </c>
      <c r="J52" s="29" t="s">
        <v>697</v>
      </c>
      <c r="K52" s="29" t="s">
        <v>698</v>
      </c>
      <c r="L52" s="29" t="s">
        <v>699</v>
      </c>
      <c r="M52" s="29" t="s">
        <v>700</v>
      </c>
      <c r="N52" s="25" t="s">
        <v>461</v>
      </c>
      <c r="O52" s="25" t="s">
        <v>462</v>
      </c>
      <c r="P52" s="29" t="s">
        <v>463</v>
      </c>
      <c r="Q52" s="25" t="s">
        <v>464</v>
      </c>
    </row>
    <row r="53" spans="1:17" ht="43.8" customHeight="1" x14ac:dyDescent="0.3">
      <c r="A53" s="61">
        <v>48</v>
      </c>
      <c r="B53" s="66" t="s">
        <v>45</v>
      </c>
      <c r="C53" s="63" t="s">
        <v>353</v>
      </c>
      <c r="D53" s="64" t="s">
        <v>354</v>
      </c>
      <c r="E53" s="63" t="s">
        <v>357</v>
      </c>
      <c r="F53" s="65" t="s">
        <v>701</v>
      </c>
      <c r="G53" s="61" t="s">
        <v>702</v>
      </c>
      <c r="H53" s="61" t="s">
        <v>455</v>
      </c>
      <c r="I53" s="64" t="s">
        <v>46</v>
      </c>
      <c r="J53" s="64" t="s">
        <v>703</v>
      </c>
      <c r="K53" s="64" t="s">
        <v>704</v>
      </c>
      <c r="L53" s="64" t="s">
        <v>705</v>
      </c>
      <c r="M53" s="64" t="s">
        <v>706</v>
      </c>
      <c r="N53" s="61" t="s">
        <v>501</v>
      </c>
      <c r="O53" s="61" t="s">
        <v>462</v>
      </c>
      <c r="P53" s="64" t="s">
        <v>522</v>
      </c>
      <c r="Q53" s="61" t="s">
        <v>464</v>
      </c>
    </row>
    <row r="54" spans="1:17" ht="31.2" customHeight="1" x14ac:dyDescent="0.3">
      <c r="A54" s="61">
        <v>49</v>
      </c>
      <c r="B54" s="66" t="s">
        <v>45</v>
      </c>
      <c r="C54" s="63" t="s">
        <v>360</v>
      </c>
      <c r="D54" s="64" t="s">
        <v>361</v>
      </c>
      <c r="E54" s="63" t="s">
        <v>365</v>
      </c>
      <c r="F54" s="65" t="s">
        <v>707</v>
      </c>
      <c r="G54" s="61" t="s">
        <v>708</v>
      </c>
      <c r="H54" s="61" t="s">
        <v>486</v>
      </c>
      <c r="I54" s="64" t="s">
        <v>333</v>
      </c>
      <c r="J54" s="64" t="s">
        <v>709</v>
      </c>
      <c r="K54" s="64" t="s">
        <v>710</v>
      </c>
      <c r="L54" s="64" t="s">
        <v>711</v>
      </c>
      <c r="M54" s="64" t="s">
        <v>712</v>
      </c>
      <c r="N54" s="61" t="s">
        <v>501</v>
      </c>
      <c r="O54" s="61" t="s">
        <v>462</v>
      </c>
      <c r="P54" s="64" t="s">
        <v>522</v>
      </c>
      <c r="Q54" s="61" t="s">
        <v>464</v>
      </c>
    </row>
    <row r="55" spans="1:17" ht="43.8" customHeight="1" x14ac:dyDescent="0.3">
      <c r="A55" s="61">
        <v>50</v>
      </c>
      <c r="B55" s="66" t="s">
        <v>45</v>
      </c>
      <c r="C55" s="63" t="s">
        <v>368</v>
      </c>
      <c r="D55" s="64" t="s">
        <v>369</v>
      </c>
      <c r="E55" s="63" t="s">
        <v>373</v>
      </c>
      <c r="F55" s="65" t="s">
        <v>713</v>
      </c>
      <c r="G55" s="61" t="s">
        <v>614</v>
      </c>
      <c r="H55" s="61" t="s">
        <v>486</v>
      </c>
      <c r="I55" s="64" t="s">
        <v>46</v>
      </c>
      <c r="J55" s="64" t="s">
        <v>714</v>
      </c>
      <c r="K55" s="64" t="s">
        <v>715</v>
      </c>
      <c r="L55" s="64" t="s">
        <v>716</v>
      </c>
      <c r="M55" s="64" t="s">
        <v>717</v>
      </c>
      <c r="N55" s="61" t="s">
        <v>461</v>
      </c>
      <c r="O55" s="61" t="s">
        <v>462</v>
      </c>
      <c r="P55" s="64" t="s">
        <v>463</v>
      </c>
      <c r="Q55" s="61" t="s">
        <v>464</v>
      </c>
    </row>
    <row r="56" spans="1:17" ht="31.2" customHeight="1" x14ac:dyDescent="0.3">
      <c r="A56" s="61">
        <v>51</v>
      </c>
      <c r="B56" s="66" t="s">
        <v>45</v>
      </c>
      <c r="C56" s="63" t="s">
        <v>376</v>
      </c>
      <c r="D56" s="64" t="s">
        <v>377</v>
      </c>
      <c r="E56" s="63" t="s">
        <v>381</v>
      </c>
      <c r="F56" s="65" t="s">
        <v>718</v>
      </c>
      <c r="G56" s="61" t="s">
        <v>515</v>
      </c>
      <c r="H56" s="61" t="s">
        <v>516</v>
      </c>
      <c r="I56" s="64" t="s">
        <v>517</v>
      </c>
      <c r="J56" s="64" t="s">
        <v>719</v>
      </c>
      <c r="K56" s="64" t="s">
        <v>720</v>
      </c>
      <c r="L56" s="64" t="s">
        <v>721</v>
      </c>
      <c r="M56" s="64" t="s">
        <v>722</v>
      </c>
      <c r="N56" s="61" t="s">
        <v>461</v>
      </c>
      <c r="O56" s="61" t="s">
        <v>462</v>
      </c>
      <c r="P56" s="64" t="s">
        <v>522</v>
      </c>
      <c r="Q56" s="61" t="s">
        <v>464</v>
      </c>
    </row>
    <row r="57" spans="1:17" ht="31.2" customHeight="1" x14ac:dyDescent="0.3">
      <c r="A57" s="61">
        <v>52</v>
      </c>
      <c r="B57" s="66" t="s">
        <v>45</v>
      </c>
      <c r="C57" s="63" t="s">
        <v>384</v>
      </c>
      <c r="D57" s="64" t="s">
        <v>385</v>
      </c>
      <c r="E57" s="63" t="s">
        <v>389</v>
      </c>
      <c r="F57" s="65" t="s">
        <v>723</v>
      </c>
      <c r="G57" s="61" t="s">
        <v>130</v>
      </c>
      <c r="H57" s="61" t="s">
        <v>455</v>
      </c>
      <c r="I57" s="64" t="s">
        <v>456</v>
      </c>
      <c r="J57" s="64" t="s">
        <v>724</v>
      </c>
      <c r="K57" s="64" t="s">
        <v>725</v>
      </c>
      <c r="L57" s="64" t="s">
        <v>726</v>
      </c>
      <c r="M57" s="64" t="s">
        <v>727</v>
      </c>
      <c r="N57" s="61" t="s">
        <v>461</v>
      </c>
      <c r="O57" s="61" t="s">
        <v>462</v>
      </c>
      <c r="P57" s="64" t="s">
        <v>463</v>
      </c>
      <c r="Q57" s="61" t="s">
        <v>464</v>
      </c>
    </row>
    <row r="58" spans="1:17" ht="43.8" customHeight="1" x14ac:dyDescent="0.3">
      <c r="A58" s="61">
        <v>53</v>
      </c>
      <c r="B58" s="66" t="s">
        <v>45</v>
      </c>
      <c r="C58" s="63" t="s">
        <v>391</v>
      </c>
      <c r="D58" s="64" t="s">
        <v>392</v>
      </c>
      <c r="E58" s="63" t="s">
        <v>320</v>
      </c>
      <c r="F58" s="65" t="s">
        <v>728</v>
      </c>
      <c r="G58" s="61" t="s">
        <v>650</v>
      </c>
      <c r="H58" s="61" t="s">
        <v>455</v>
      </c>
      <c r="I58" s="64" t="s">
        <v>46</v>
      </c>
      <c r="J58" s="64" t="s">
        <v>729</v>
      </c>
      <c r="K58" s="64" t="s">
        <v>730</v>
      </c>
      <c r="L58" s="64" t="s">
        <v>731</v>
      </c>
      <c r="M58" s="64" t="s">
        <v>732</v>
      </c>
      <c r="N58" s="61" t="s">
        <v>501</v>
      </c>
      <c r="O58" s="61" t="s">
        <v>462</v>
      </c>
      <c r="P58" s="64" t="s">
        <v>522</v>
      </c>
      <c r="Q58" s="61" t="s">
        <v>464</v>
      </c>
    </row>
    <row r="59" spans="1:17" ht="43.8" customHeight="1" x14ac:dyDescent="0.3">
      <c r="A59" s="61">
        <v>54</v>
      </c>
      <c r="B59" s="66" t="s">
        <v>45</v>
      </c>
      <c r="C59" s="63" t="s">
        <v>398</v>
      </c>
      <c r="D59" s="64" t="s">
        <v>399</v>
      </c>
      <c r="E59" s="68" t="s">
        <v>403</v>
      </c>
      <c r="F59" s="65" t="s">
        <v>733</v>
      </c>
      <c r="G59" s="61" t="s">
        <v>708</v>
      </c>
      <c r="H59" s="61" t="s">
        <v>455</v>
      </c>
      <c r="I59" s="64" t="s">
        <v>46</v>
      </c>
      <c r="J59" s="64" t="s">
        <v>734</v>
      </c>
      <c r="K59" s="64" t="s">
        <v>735</v>
      </c>
      <c r="L59" s="64" t="s">
        <v>736</v>
      </c>
      <c r="M59" s="64" t="s">
        <v>737</v>
      </c>
      <c r="N59" s="61" t="s">
        <v>461</v>
      </c>
      <c r="O59" s="61" t="s">
        <v>462</v>
      </c>
      <c r="P59" s="64" t="s">
        <v>522</v>
      </c>
      <c r="Q59" s="69" t="s">
        <v>559</v>
      </c>
    </row>
  </sheetData>
  <autoFilter ref="A5:Q59" xr:uid="{00000000-0009-0000-0000-000004000000}"/>
  <conditionalFormatting sqref="O6:O59">
    <cfRule type="cellIs" dxfId="2" priority="1" operator="equal">
      <formula>"OK"</formula>
    </cfRule>
    <cfRule type="cellIs" dxfId="1" priority="2" operator="equal">
      <formula>"NOK"</formula>
    </cfRule>
    <cfRule type="cellIs" dxfId="0" priority="3" operator="equal">
      <formula>"Bloqueado"</formula>
    </cfRule>
  </conditionalFormatting>
  <dataValidations count="4">
    <dataValidation type="list" allowBlank="1" sqref="O6:O59" xr:uid="{00000000-0002-0000-0400-000000000000}">
      <formula1>"OK,NOK,No ejecutado,Bloqueado,Obsoleto"</formula1>
    </dataValidation>
    <dataValidation type="list" allowBlank="1" sqref="N6:N59" xr:uid="{00000000-0002-0000-0400-000001000000}">
      <formula1>"SI,NO"</formula1>
    </dataValidation>
    <dataValidation type="list" allowBlank="1" sqref="G6:G59" xr:uid="{00000000-0002-0000-0400-000002000000}">
      <formula1>"Funcional,No Funcional,UAT,Código,End to End,Stress,Rendimiento,Carga"</formula1>
    </dataValidation>
    <dataValidation type="list" allowBlank="1" sqref="H6:H59" xr:uid="{00000000-0002-0000-0400-000003000000}">
      <formula1>"Caja Negra,Caja Blanca,Hibrido"</formula1>
    </dataValidation>
  </dataValidations>
  <pageMargins left="0.4" right="0.4" top="0.5" bottom="0.5" header="0.5" footer="0.5"/>
  <pageSetup paperSize="9" fitToHeight="0" orientation="landscape"/>
  <headerFooter>
    <oddFooter>&amp;C&amp;8 Toma de Requerimientos · Proyecto APT Inchcape · 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Portada</vt:lpstr>
      <vt:lpstr>Resumen</vt:lpstr>
      <vt:lpstr>Requerimientos</vt:lpstr>
      <vt:lpstr>Trazabilidad</vt:lpstr>
      <vt:lpstr>Pruebas por requerimiento</vt:lpstr>
      <vt:lpstr>'Pruebas por requerimiento'!Títulos_a_imprimir</vt:lpstr>
      <vt:lpstr>Requerimientos!Títulos_a_imprimir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ANGELO ALEXANDER HENRIQUEZ PONCE</cp:lastModifiedBy>
  <dcterms:created xsi:type="dcterms:W3CDTF">2026-09-28T01:33:50Z</dcterms:created>
  <dcterms:modified xsi:type="dcterms:W3CDTF">2026-09-28T01:33:55Z</dcterms:modified>
</cp:coreProperties>
</file>